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ThisWorkbook"/>
  <xr:revisionPtr revIDLastSave="0" documentId="13_ncr:1_{2060C6E9-5C69-4DE1-851E-441CE4DF5373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info" sheetId="7" r:id="rId1"/>
    <sheet name="1. fwds, short end" sheetId="1" r:id="rId2"/>
    <sheet name="2. fwd curve" sheetId="2" r:id="rId3"/>
    <sheet name="3. spot, short end" sheetId="3" r:id="rId4"/>
    <sheet name="4. spot curve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/>
  <c r="D4" i="3" s="1"/>
  <c r="B3" i="3"/>
  <c r="C4" i="1"/>
  <c r="C3" i="1" s="1"/>
  <c r="B3" i="1"/>
  <c r="E4" i="3" l="1"/>
  <c r="D3" i="3"/>
  <c r="C3" i="3"/>
  <c r="D4" i="1"/>
  <c r="F4" i="3" l="1"/>
  <c r="E3" i="3"/>
  <c r="E4" i="1"/>
  <c r="D3" i="1"/>
  <c r="G4" i="3" l="1"/>
  <c r="F3" i="3"/>
  <c r="F4" i="1"/>
  <c r="E3" i="1"/>
  <c r="H4" i="3" l="1"/>
  <c r="G3" i="3"/>
  <c r="G4" i="1"/>
  <c r="F3" i="1"/>
  <c r="I4" i="3" l="1"/>
  <c r="H3" i="3"/>
  <c r="H4" i="1"/>
  <c r="G3" i="1"/>
  <c r="J4" i="3" l="1"/>
  <c r="I3" i="3"/>
  <c r="I4" i="1"/>
  <c r="H3" i="1"/>
  <c r="K4" i="3" l="1"/>
  <c r="J3" i="3"/>
  <c r="J4" i="1"/>
  <c r="I3" i="1"/>
  <c r="L4" i="3" l="1"/>
  <c r="K3" i="3"/>
  <c r="K4" i="1"/>
  <c r="J3" i="1"/>
  <c r="M4" i="3" l="1"/>
  <c r="L3" i="3"/>
  <c r="L4" i="1"/>
  <c r="K3" i="1"/>
  <c r="N4" i="3" l="1"/>
  <c r="M3" i="3"/>
  <c r="M4" i="1"/>
  <c r="L3" i="1"/>
  <c r="O4" i="3" l="1"/>
  <c r="N3" i="3"/>
  <c r="N4" i="1"/>
  <c r="M3" i="1"/>
  <c r="P4" i="3" l="1"/>
  <c r="O3" i="3"/>
  <c r="O4" i="1"/>
  <c r="N3" i="1"/>
  <c r="Q4" i="3" l="1"/>
  <c r="P3" i="3"/>
  <c r="P4" i="1"/>
  <c r="O3" i="1"/>
  <c r="R4" i="3" l="1"/>
  <c r="Q3" i="3"/>
  <c r="Q4" i="1"/>
  <c r="P3" i="1"/>
  <c r="S4" i="3" l="1"/>
  <c r="R3" i="3"/>
  <c r="R4" i="1"/>
  <c r="Q3" i="1"/>
  <c r="T4" i="3" l="1"/>
  <c r="S3" i="3"/>
  <c r="S4" i="1"/>
  <c r="R3" i="1"/>
  <c r="U4" i="3" l="1"/>
  <c r="T3" i="3"/>
  <c r="T4" i="1"/>
  <c r="S3" i="1"/>
  <c r="V4" i="3" l="1"/>
  <c r="U3" i="3"/>
  <c r="U4" i="1"/>
  <c r="T3" i="1"/>
  <c r="W4" i="3" l="1"/>
  <c r="V3" i="3"/>
  <c r="V4" i="1"/>
  <c r="U3" i="1"/>
  <c r="X4" i="3" l="1"/>
  <c r="W3" i="3"/>
  <c r="W4" i="1"/>
  <c r="V3" i="1"/>
  <c r="Y4" i="3" l="1"/>
  <c r="X3" i="3"/>
  <c r="X4" i="1"/>
  <c r="W3" i="1"/>
  <c r="Z4" i="3" l="1"/>
  <c r="Y3" i="3"/>
  <c r="Y4" i="1"/>
  <c r="X3" i="1"/>
  <c r="AA4" i="3" l="1"/>
  <c r="Z3" i="3"/>
  <c r="Z4" i="1"/>
  <c r="Y3" i="1"/>
  <c r="AB4" i="3" l="1"/>
  <c r="AA3" i="3"/>
  <c r="AA4" i="1"/>
  <c r="Z3" i="1"/>
  <c r="AC4" i="3" l="1"/>
  <c r="AB3" i="3"/>
  <c r="AB4" i="1"/>
  <c r="AA3" i="1"/>
  <c r="AD4" i="3" l="1"/>
  <c r="AC3" i="3"/>
  <c r="AC4" i="1"/>
  <c r="AB3" i="1"/>
  <c r="AE4" i="3" l="1"/>
  <c r="AD3" i="3"/>
  <c r="AD4" i="1"/>
  <c r="AC3" i="1"/>
  <c r="AF4" i="3" l="1"/>
  <c r="AE3" i="3"/>
  <c r="AE4" i="1"/>
  <c r="AD3" i="1"/>
  <c r="AG4" i="3" l="1"/>
  <c r="AF3" i="3"/>
  <c r="AF4" i="1"/>
  <c r="AE3" i="1"/>
  <c r="AH4" i="3" l="1"/>
  <c r="AG3" i="3"/>
  <c r="AG4" i="1"/>
  <c r="AF3" i="1"/>
  <c r="AI4" i="3" l="1"/>
  <c r="AH3" i="3"/>
  <c r="AH4" i="1"/>
  <c r="AG3" i="1"/>
  <c r="AJ4" i="3" l="1"/>
  <c r="AI3" i="3"/>
  <c r="AI4" i="1"/>
  <c r="AH3" i="1"/>
  <c r="AK4" i="3" l="1"/>
  <c r="AJ3" i="3"/>
  <c r="AJ4" i="1"/>
  <c r="AI3" i="1"/>
  <c r="AL4" i="3" l="1"/>
  <c r="AK3" i="3"/>
  <c r="AK4" i="1"/>
  <c r="AJ3" i="1"/>
  <c r="AM4" i="3" l="1"/>
  <c r="AL3" i="3"/>
  <c r="AL4" i="1"/>
  <c r="AK3" i="1"/>
  <c r="AN4" i="3" l="1"/>
  <c r="AM3" i="3"/>
  <c r="AM4" i="1"/>
  <c r="AL3" i="1"/>
  <c r="AO4" i="3" l="1"/>
  <c r="AN3" i="3"/>
  <c r="AN4" i="1"/>
  <c r="AM3" i="1"/>
  <c r="AP4" i="3" l="1"/>
  <c r="AO3" i="3"/>
  <c r="AO4" i="1"/>
  <c r="AN3" i="1"/>
  <c r="AQ4" i="3" l="1"/>
  <c r="AP3" i="3"/>
  <c r="AP4" i="1"/>
  <c r="AO3" i="1"/>
  <c r="AR4" i="3" l="1"/>
  <c r="AQ3" i="3"/>
  <c r="AQ4" i="1"/>
  <c r="AP3" i="1"/>
  <c r="AS4" i="3" l="1"/>
  <c r="AR3" i="3"/>
  <c r="AR4" i="1"/>
  <c r="AQ3" i="1"/>
  <c r="AT4" i="3" l="1"/>
  <c r="AS3" i="3"/>
  <c r="AS4" i="1"/>
  <c r="AR3" i="1"/>
  <c r="AU4" i="3" l="1"/>
  <c r="AT3" i="3"/>
  <c r="AT4" i="1"/>
  <c r="AS3" i="1"/>
  <c r="AV4" i="3" l="1"/>
  <c r="AU3" i="3"/>
  <c r="AU4" i="1"/>
  <c r="AT3" i="1"/>
  <c r="AW4" i="3" l="1"/>
  <c r="AV3" i="3"/>
  <c r="AV4" i="1"/>
  <c r="AU3" i="1"/>
  <c r="AX4" i="3" l="1"/>
  <c r="AW3" i="3"/>
  <c r="AW4" i="1"/>
  <c r="AV3" i="1"/>
  <c r="AY4" i="3" l="1"/>
  <c r="AX3" i="3"/>
  <c r="AX4" i="1"/>
  <c r="AW3" i="1"/>
  <c r="AZ4" i="3" l="1"/>
  <c r="AY3" i="3"/>
  <c r="AY4" i="1"/>
  <c r="AX3" i="1"/>
  <c r="BA4" i="3" l="1"/>
  <c r="AZ3" i="3"/>
  <c r="AZ4" i="1"/>
  <c r="AY3" i="1"/>
  <c r="BB4" i="3" l="1"/>
  <c r="BA3" i="3"/>
  <c r="BA4" i="1"/>
  <c r="AZ3" i="1"/>
  <c r="BC4" i="3" l="1"/>
  <c r="BB3" i="3"/>
  <c r="BB4" i="1"/>
  <c r="BA3" i="1"/>
  <c r="BD4" i="3" l="1"/>
  <c r="BC3" i="3"/>
  <c r="BC4" i="1"/>
  <c r="BB3" i="1"/>
  <c r="BE4" i="3" l="1"/>
  <c r="BD3" i="3"/>
  <c r="BD4" i="1"/>
  <c r="BC3" i="1"/>
  <c r="BF4" i="3" l="1"/>
  <c r="BE3" i="3"/>
  <c r="BE4" i="1"/>
  <c r="BD3" i="1"/>
  <c r="BG4" i="3" l="1"/>
  <c r="BF3" i="3"/>
  <c r="BF4" i="1"/>
  <c r="BE3" i="1"/>
  <c r="BH4" i="3" l="1"/>
  <c r="BG3" i="3"/>
  <c r="BG4" i="1"/>
  <c r="BF3" i="1"/>
  <c r="BI4" i="3" l="1"/>
  <c r="BI3" i="3" s="1"/>
  <c r="BH3" i="3"/>
  <c r="BH4" i="1"/>
  <c r="BG3" i="1"/>
  <c r="BI4" i="1" l="1"/>
  <c r="BI3" i="1" s="1"/>
  <c r="BH3" i="1"/>
</calcChain>
</file>

<file path=xl/sharedStrings.xml><?xml version="1.0" encoding="utf-8"?>
<sst xmlns="http://schemas.openxmlformats.org/spreadsheetml/2006/main" count="43" uniqueCount="24">
  <si>
    <t>Bank of England UK yield curve data</t>
  </si>
  <si>
    <t>For documentation and descriptions, see the statistics/yield curve area of the</t>
  </si>
  <si>
    <t>Bank of England website at www.bankofengland.co.uk.</t>
  </si>
  <si>
    <t xml:space="preserve">Every effort has been made to ensure this information is correct but we can not </t>
  </si>
  <si>
    <t>in any way guarantee its accuracy and you use it entirely at your own risk.</t>
  </si>
  <si>
    <t>Users should note that on 21 December 2004 the yield curve data on this</t>
  </si>
  <si>
    <t xml:space="preserve">spreadsheet were revised back to the beginning of November 1998.  These </t>
  </si>
  <si>
    <t>revisions are relatively modest and do not change recent trends in the data. </t>
  </si>
  <si>
    <t>As of 04 January 2016 we now publish data out to a 40-year maturity</t>
  </si>
  <si>
    <t>for the UK government nominal curve. The 40-year maturity has been</t>
  </si>
  <si>
    <t>chosen as the cut-off to maintain consistency along the yield curve. For more</t>
  </si>
  <si>
    <t>details please see the FAQ’s page on the statistics/yield curve area of the Bank</t>
  </si>
  <si>
    <t>of England website at www.bankofengland.co.uk; at the time of production of</t>
  </si>
  <si>
    <t>this spreadsheet they are located at http://www.bankofengland.co.uk/statistics/Documents/yieldcurve/yields_faq.pdf.</t>
  </si>
  <si>
    <t>Sources: Bloomberg Finance L.P., Tradeweb and Bank calculations</t>
  </si>
  <si>
    <t>Maturity</t>
  </si>
  <si>
    <t>years:</t>
  </si>
  <si>
    <t>UK instantaneous nominal forward curve, short end</t>
  </si>
  <si>
    <t>months:</t>
  </si>
  <si>
    <t xml:space="preserve">UK instantaneous nominal forward curve </t>
  </si>
  <si>
    <t>UK nominal spot curve, short end</t>
  </si>
  <si>
    <t xml:space="preserve">Maturity </t>
  </si>
  <si>
    <t>UK nominal spot curve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</si>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</sst>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dd\ mmm\ yy"/>
    <numFmt numFmtId="166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0"/>
      <color indexed="63"/>
      <name val="Times New Roman"/>
      <family val="1"/>
    </font>
    <font>
      <sz val="8"/>
      <color indexed="63"/>
      <name val="Times New Roman"/>
      <family val="1"/>
    </font>
    <font>
      <b/>
      <sz val="10"/>
      <name val="Times New Roman"/>
      <family val="1"/>
    </font>
    <font>
      <b/>
      <u/>
      <sz val="14"/>
      <name val="Times New Roman"/>
      <family val="1"/>
    </font>
    <font>
      <sz val="10"/>
      <color indexed="9"/>
      <name val="Times New Roman"/>
      <family val="1"/>
    </font>
    <font>
      <b/>
      <u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12"/>
      </left>
      <right/>
      <top/>
      <bottom/>
      <diagonal/>
    </border>
  </borders>
  <cellStyleXfs count="4">
    <xf numFmtId="0" fontId="0" fillId="0" borderId="0"/>
    <xf numFmtId="0" fontId="2" fillId="0" borderId="0"/>
    <xf numFmtId="0" fontId="1" fillId="0" borderId="0"/>
    <xf numFmtId="0" fontId="3" fillId="0" borderId="0"/>
  </cellStyleXfs>
  <cellXfs count="29">
    <xf numFmtId="0" fontId="0" fillId="0" borderId="0" xfId="0"/>
    <xf numFmtId="0" fontId="4" fillId="0" borderId="1" xfId="3" applyFont="1" applyBorder="1"/>
    <xf numFmtId="0" fontId="2" fillId="0" borderId="1" xfId="3" applyFont="1" applyBorder="1"/>
    <xf numFmtId="0" fontId="2" fillId="0" borderId="0" xfId="3" applyFont="1"/>
    <xf numFmtId="0" fontId="3" fillId="0" borderId="0" xfId="3"/>
    <xf numFmtId="0" fontId="4" fillId="0" borderId="0" xfId="3" applyFont="1"/>
    <xf numFmtId="0" fontId="5" fillId="0" borderId="0" xfId="3" applyFont="1"/>
    <xf numFmtId="0" fontId="6" fillId="0" borderId="2" xfId="3" applyFont="1" applyBorder="1" applyAlignment="1">
      <alignment horizontal="left"/>
    </xf>
    <xf numFmtId="0" fontId="7" fillId="0" borderId="0" xfId="3" applyFont="1" applyAlignment="1">
      <alignment horizontal="left"/>
    </xf>
    <xf numFmtId="0" fontId="8" fillId="0" borderId="0" xfId="3" applyFont="1" applyAlignment="1">
      <alignment horizontal="left"/>
    </xf>
    <xf numFmtId="164" fontId="3" fillId="0" borderId="0" xfId="3" applyNumberFormat="1"/>
    <xf numFmtId="0" fontId="12" fillId="0" borderId="0" xfId="0" applyFont="1"/>
    <xf numFmtId="0" fontId="9" fillId="0" borderId="0" xfId="0" applyFont="1" applyAlignment="1">
      <alignment horizontal="right"/>
    </xf>
    <xf numFmtId="2" fontId="0" fillId="0" borderId="0" xfId="0" applyNumberFormat="1"/>
    <xf numFmtId="15" fontId="11" fillId="0" borderId="0" xfId="0" applyNumberFormat="1" applyFont="1" applyAlignment="1">
      <alignment horizontal="center"/>
    </xf>
    <xf numFmtId="2" fontId="13" fillId="0" borderId="0" xfId="0" applyNumberFormat="1" applyFont="1"/>
    <xf numFmtId="0" fontId="9" fillId="0" borderId="0" xfId="0" applyFont="1"/>
    <xf numFmtId="2" fontId="9" fillId="0" borderId="0" xfId="0" applyNumberFormat="1" applyFont="1"/>
    <xf numFmtId="165" fontId="9" fillId="0" borderId="0" xfId="0" applyNumberFormat="1" applyFont="1" applyAlignment="1">
      <alignment horizontal="right"/>
    </xf>
    <xf numFmtId="0" fontId="10" fillId="0" borderId="0" xfId="0" applyFont="1"/>
    <xf numFmtId="15" fontId="9" fillId="0" borderId="0" xfId="0" applyNumberFormat="1" applyFont="1" applyAlignment="1">
      <alignment horizontal="right"/>
    </xf>
    <xf numFmtId="166" fontId="9" fillId="0" borderId="0" xfId="0" applyNumberFormat="1" applyFont="1" applyAlignment="1">
      <alignment horizontal="right"/>
    </xf>
    <xf numFmtId="2" fontId="2" fillId="0" borderId="0" xfId="0" applyNumberFormat="1" applyFont="1"/>
    <xf numFmtId="0" fontId="14" fillId="0" borderId="0" xfId="0" applyFont="1" applyAlignment="1">
      <alignment horizontal="right"/>
    </xf>
    <xf numFmtId="2" fontId="9" fillId="0" borderId="0" xfId="0" applyNumberFormat="1" applyFont="1" applyAlignment="1">
      <alignment horizontal="right"/>
    </xf>
    <xf numFmtId="0" fontId="2" fillId="0" borderId="0" xfId="0" applyFont="1"/>
    <xf numFmtId="166" fontId="9" fillId="0" borderId="0" xfId="0" applyNumberFormat="1" applyFont="1"/>
    <xf numFmtId="2" fontId="5" fillId="0" borderId="0" xfId="0" applyNumberFormat="1" applyFont="1"/>
    <xf numFmtId="0" fontId="13" fillId="0" borderId="0" xfId="0" applyFont="1"/>
  </cellXfs>
  <cellStyles count="4">
    <cellStyle name="Normal" xfId="0" builtinId="0"/>
    <cellStyle name="Normal 2" xfId="1" xr:uid="{00000000-0005-0000-0000-000003000000}"/>
    <cellStyle name="Normal 2 2" xfId="2" xr:uid="{00000000-0005-0000-0000-000004000000}"/>
    <cellStyle name="Normal 3" xfId="3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M21"/>
  <sheetViews>
    <sheetView showGridLines="0" workbookViewId="0">
      <selection activeCell="A2" sqref="A2"/>
    </sheetView>
  </sheetViews>
  <sheetFormatPr defaultColWidth="9.453125" defaultRowHeight="13" x14ac:dyDescent="0.3"/>
  <cols>
    <col min="1" max="2" width="9.453125" style="4"/>
    <col min="3" max="3" width="8.54296875" style="4" bestFit="1" customWidth="1"/>
    <col min="4" max="16384" width="9.453125" style="4"/>
  </cols>
  <sheetData>
    <row r="1" spans="1:13" ht="25" x14ac:dyDescent="0.5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</row>
    <row r="2" spans="1:13" ht="25" x14ac:dyDescent="0.5">
      <c r="A2" s="5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ht="15.5" x14ac:dyDescent="0.35">
      <c r="A3" s="6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spans="1:13" ht="15.5" x14ac:dyDescent="0.35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spans="1:13" ht="15.5" x14ac:dyDescent="0.35">
      <c r="A5" s="7" t="s">
        <v>3</v>
      </c>
      <c r="B5" s="8"/>
      <c r="C5" s="8"/>
      <c r="D5" s="8"/>
      <c r="E5" s="8"/>
      <c r="F5" s="8"/>
      <c r="G5" s="8"/>
      <c r="H5" s="8"/>
      <c r="I5" s="8"/>
      <c r="J5" s="3"/>
      <c r="K5" s="3"/>
      <c r="L5" s="3"/>
      <c r="M5" s="3"/>
    </row>
    <row r="6" spans="1:13" ht="15.5" x14ac:dyDescent="0.35">
      <c r="A6" s="7" t="s">
        <v>4</v>
      </c>
      <c r="B6" s="8"/>
      <c r="C6" s="8"/>
      <c r="D6" s="8"/>
      <c r="E6" s="8"/>
      <c r="F6" s="8"/>
      <c r="G6" s="8"/>
      <c r="H6" s="8"/>
      <c r="I6" s="8"/>
      <c r="J6" s="3"/>
      <c r="K6" s="3"/>
      <c r="L6" s="3"/>
      <c r="M6" s="3"/>
    </row>
    <row r="7" spans="1:13" ht="15.5" x14ac:dyDescent="0.35">
      <c r="A7" s="7"/>
      <c r="B7" s="9"/>
      <c r="C7" s="9"/>
      <c r="D7" s="9"/>
      <c r="E7" s="9"/>
      <c r="F7" s="9"/>
      <c r="G7" s="9"/>
      <c r="H7" s="9"/>
      <c r="I7" s="9"/>
    </row>
    <row r="8" spans="1:13" s="6" customFormat="1" ht="15.5" x14ac:dyDescent="0.35">
      <c r="A8" s="6" t="s">
        <v>5</v>
      </c>
    </row>
    <row r="9" spans="1:13" s="6" customFormat="1" ht="15.5" x14ac:dyDescent="0.35">
      <c r="A9" s="6" t="s">
        <v>6</v>
      </c>
    </row>
    <row r="10" spans="1:13" s="6" customFormat="1" ht="15.5" x14ac:dyDescent="0.35">
      <c r="A10" s="6" t="s">
        <v>7</v>
      </c>
    </row>
    <row r="11" spans="1:13" s="6" customFormat="1" ht="15.5" x14ac:dyDescent="0.35"/>
    <row r="12" spans="1:13" s="6" customFormat="1" ht="15.5" x14ac:dyDescent="0.35">
      <c r="A12" s="6" t="s">
        <v>8</v>
      </c>
    </row>
    <row r="13" spans="1:13" s="6" customFormat="1" ht="15.5" x14ac:dyDescent="0.35">
      <c r="A13" s="6" t="s">
        <v>9</v>
      </c>
    </row>
    <row r="14" spans="1:13" s="6" customFormat="1" ht="15.5" x14ac:dyDescent="0.35">
      <c r="A14" s="6" t="s">
        <v>10</v>
      </c>
    </row>
    <row r="15" spans="1:13" s="6" customFormat="1" ht="15.5" x14ac:dyDescent="0.35">
      <c r="A15" s="6" t="s">
        <v>11</v>
      </c>
    </row>
    <row r="16" spans="1:13" s="6" customFormat="1" ht="15.5" x14ac:dyDescent="0.35">
      <c r="A16" s="6" t="s">
        <v>12</v>
      </c>
    </row>
    <row r="17" spans="1:3" s="6" customFormat="1" ht="15.5" x14ac:dyDescent="0.35">
      <c r="A17" s="6" t="s">
        <v>13</v>
      </c>
    </row>
    <row r="18" spans="1:3" s="6" customFormat="1" ht="15.5" x14ac:dyDescent="0.35"/>
    <row r="19" spans="1:3" s="6" customFormat="1" ht="15.5" x14ac:dyDescent="0.35"/>
    <row r="20" spans="1:3" x14ac:dyDescent="0.3">
      <c r="C20" s="10"/>
    </row>
    <row r="21" spans="1:3" ht="15.5" x14ac:dyDescent="0.35">
      <c r="A21" s="6" t="s">
        <v>14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I75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4.5" x14ac:dyDescent="0.35"/>
  <sheetData>
    <row r="1" spans="1:61" ht="17.5" x14ac:dyDescent="0.35">
      <c r="B1" s="11" t="s">
        <v>17</v>
      </c>
    </row>
    <row r="2" spans="1:61" x14ac:dyDescent="0.35">
      <c r="A2" s="12" t="s">
        <v>15</v>
      </c>
    </row>
    <row r="3" spans="1:61" x14ac:dyDescent="0.35">
      <c r="A3" s="12" t="s">
        <v>18</v>
      </c>
      <c r="B3" s="16">
        <f>B4/0.08333333</f>
        <v>1</v>
      </c>
      <c r="C3" s="16">
        <f t="shared" ref="C3:BI3" si="0">C4/0.08333333</f>
        <v>2</v>
      </c>
      <c r="D3" s="16">
        <f t="shared" si="0"/>
        <v>3</v>
      </c>
      <c r="E3" s="16">
        <f t="shared" si="0"/>
        <v>4</v>
      </c>
      <c r="F3" s="16">
        <f t="shared" si="0"/>
        <v>5</v>
      </c>
      <c r="G3" s="16">
        <f t="shared" si="0"/>
        <v>6</v>
      </c>
      <c r="H3" s="16">
        <f t="shared" si="0"/>
        <v>7</v>
      </c>
      <c r="I3" s="16">
        <f t="shared" si="0"/>
        <v>8</v>
      </c>
      <c r="J3" s="16">
        <f t="shared" si="0"/>
        <v>9</v>
      </c>
      <c r="K3" s="16">
        <f t="shared" si="0"/>
        <v>10</v>
      </c>
      <c r="L3" s="16">
        <f t="shared" si="0"/>
        <v>11</v>
      </c>
      <c r="M3" s="16">
        <f t="shared" si="0"/>
        <v>12</v>
      </c>
      <c r="N3" s="16">
        <f t="shared" si="0"/>
        <v>13</v>
      </c>
      <c r="O3" s="16">
        <f t="shared" si="0"/>
        <v>14</v>
      </c>
      <c r="P3" s="16">
        <f t="shared" si="0"/>
        <v>15.000000000000002</v>
      </c>
      <c r="Q3" s="16">
        <f t="shared" si="0"/>
        <v>16.000000000000004</v>
      </c>
      <c r="R3" s="16">
        <f t="shared" si="0"/>
        <v>17.000000000000004</v>
      </c>
      <c r="S3" s="16">
        <f t="shared" si="0"/>
        <v>18.000000000000004</v>
      </c>
      <c r="T3" s="16">
        <f t="shared" si="0"/>
        <v>19.000000000000007</v>
      </c>
      <c r="U3" s="16">
        <f t="shared" si="0"/>
        <v>20.000000000000007</v>
      </c>
      <c r="V3" s="16">
        <f t="shared" si="0"/>
        <v>21.000000000000007</v>
      </c>
      <c r="W3" s="16">
        <f t="shared" si="0"/>
        <v>22.000000000000011</v>
      </c>
      <c r="X3" s="16">
        <f t="shared" si="0"/>
        <v>23.000000000000011</v>
      </c>
      <c r="Y3" s="16">
        <f t="shared" si="0"/>
        <v>24.000000000000011</v>
      </c>
      <c r="Z3" s="16">
        <f t="shared" si="0"/>
        <v>25.000000000000011</v>
      </c>
      <c r="AA3" s="16">
        <f t="shared" si="0"/>
        <v>26.000000000000011</v>
      </c>
      <c r="AB3" s="16">
        <f t="shared" si="0"/>
        <v>27.000000000000007</v>
      </c>
      <c r="AC3" s="16">
        <f t="shared" si="0"/>
        <v>28.000000000000007</v>
      </c>
      <c r="AD3" s="16">
        <f t="shared" si="0"/>
        <v>29.000000000000004</v>
      </c>
      <c r="AE3" s="16">
        <f t="shared" si="0"/>
        <v>30.000000000000004</v>
      </c>
      <c r="AF3" s="16">
        <f t="shared" si="0"/>
        <v>31</v>
      </c>
      <c r="AG3" s="16">
        <f t="shared" si="0"/>
        <v>32</v>
      </c>
      <c r="AH3" s="16">
        <f t="shared" si="0"/>
        <v>33</v>
      </c>
      <c r="AI3" s="16">
        <f t="shared" si="0"/>
        <v>34</v>
      </c>
      <c r="AJ3" s="16">
        <f t="shared" si="0"/>
        <v>34.999999999999993</v>
      </c>
      <c r="AK3" s="16">
        <f t="shared" si="0"/>
        <v>35.999999999999993</v>
      </c>
      <c r="AL3" s="16">
        <f t="shared" si="0"/>
        <v>36.999999999999993</v>
      </c>
      <c r="AM3" s="16">
        <f t="shared" si="0"/>
        <v>37.999999999999993</v>
      </c>
      <c r="AN3" s="16">
        <f t="shared" si="0"/>
        <v>38.999999999999993</v>
      </c>
      <c r="AO3" s="16">
        <f t="shared" si="0"/>
        <v>39.999999999999986</v>
      </c>
      <c r="AP3" s="16">
        <f t="shared" si="0"/>
        <v>40.999999999999986</v>
      </c>
      <c r="AQ3" s="16">
        <f t="shared" si="0"/>
        <v>41.999999999999986</v>
      </c>
      <c r="AR3" s="16">
        <f t="shared" si="0"/>
        <v>42.999999999999986</v>
      </c>
      <c r="AS3" s="16">
        <f t="shared" si="0"/>
        <v>43.999999999999979</v>
      </c>
      <c r="AT3" s="16">
        <f t="shared" si="0"/>
        <v>44.999999999999979</v>
      </c>
      <c r="AU3" s="16">
        <f t="shared" si="0"/>
        <v>45.999999999999979</v>
      </c>
      <c r="AV3" s="16">
        <f t="shared" si="0"/>
        <v>46.999999999999979</v>
      </c>
      <c r="AW3" s="16">
        <f t="shared" si="0"/>
        <v>47.999999999999979</v>
      </c>
      <c r="AX3" s="16">
        <f t="shared" si="0"/>
        <v>48.999999999999972</v>
      </c>
      <c r="AY3" s="16">
        <f t="shared" si="0"/>
        <v>49.999999999999979</v>
      </c>
      <c r="AZ3" s="16">
        <f t="shared" si="0"/>
        <v>50.999999999999979</v>
      </c>
      <c r="BA3" s="16">
        <f t="shared" si="0"/>
        <v>51.999999999999986</v>
      </c>
      <c r="BB3" s="16">
        <f t="shared" si="0"/>
        <v>52.999999999999993</v>
      </c>
      <c r="BC3" s="16">
        <f t="shared" si="0"/>
        <v>53.999999999999993</v>
      </c>
      <c r="BD3" s="16">
        <f t="shared" si="0"/>
        <v>55</v>
      </c>
      <c r="BE3" s="16">
        <f t="shared" si="0"/>
        <v>56</v>
      </c>
      <c r="BF3" s="16">
        <f t="shared" si="0"/>
        <v>57.000000000000007</v>
      </c>
      <c r="BG3" s="16">
        <f t="shared" si="0"/>
        <v>58.000000000000007</v>
      </c>
      <c r="BH3" s="16">
        <f t="shared" si="0"/>
        <v>59.000000000000014</v>
      </c>
      <c r="BI3" s="16">
        <f t="shared" si="0"/>
        <v>60.000000000000014</v>
      </c>
    </row>
    <row r="4" spans="1:61" x14ac:dyDescent="0.35">
      <c r="A4" s="12" t="s">
        <v>16</v>
      </c>
      <c r="B4" s="17">
        <v>8.3333329999999997E-2</v>
      </c>
      <c r="C4" s="17">
        <f>B4+0.08333333</f>
        <v>0.16666665999999999</v>
      </c>
      <c r="D4" s="17">
        <f t="shared" ref="D4:BI4" si="1">C4+0.08333333</f>
        <v>0.24999999000000001</v>
      </c>
      <c r="E4" s="17">
        <f t="shared" si="1"/>
        <v>0.33333331999999999</v>
      </c>
      <c r="F4" s="17">
        <f t="shared" si="1"/>
        <v>0.41666664999999997</v>
      </c>
      <c r="G4" s="17">
        <f t="shared" si="1"/>
        <v>0.49999997999999996</v>
      </c>
      <c r="H4" s="17">
        <f t="shared" si="1"/>
        <v>0.58333330999999999</v>
      </c>
      <c r="I4" s="17">
        <f t="shared" si="1"/>
        <v>0.66666663999999998</v>
      </c>
      <c r="J4" s="17">
        <f t="shared" si="1"/>
        <v>0.74999996999999996</v>
      </c>
      <c r="K4" s="17">
        <f t="shared" si="1"/>
        <v>0.83333329999999994</v>
      </c>
      <c r="L4" s="17">
        <f t="shared" si="1"/>
        <v>0.91666662999999993</v>
      </c>
      <c r="M4" s="17">
        <f t="shared" si="1"/>
        <v>0.99999995999999991</v>
      </c>
      <c r="N4" s="17">
        <f t="shared" si="1"/>
        <v>1.0833332899999999</v>
      </c>
      <c r="O4" s="17">
        <f t="shared" si="1"/>
        <v>1.16666662</v>
      </c>
      <c r="P4" s="17">
        <f t="shared" si="1"/>
        <v>1.2499999500000001</v>
      </c>
      <c r="Q4" s="17">
        <f t="shared" si="1"/>
        <v>1.3333332800000002</v>
      </c>
      <c r="R4" s="17">
        <f t="shared" si="1"/>
        <v>1.4166666100000003</v>
      </c>
      <c r="S4" s="17">
        <f t="shared" si="1"/>
        <v>1.4999999400000004</v>
      </c>
      <c r="T4" s="17">
        <f t="shared" si="1"/>
        <v>1.5833332700000005</v>
      </c>
      <c r="U4" s="17">
        <f t="shared" si="1"/>
        <v>1.6666666000000006</v>
      </c>
      <c r="V4" s="17">
        <f t="shared" si="1"/>
        <v>1.7499999300000006</v>
      </c>
      <c r="W4" s="17">
        <f t="shared" si="1"/>
        <v>1.8333332600000007</v>
      </c>
      <c r="X4" s="17">
        <f t="shared" si="1"/>
        <v>1.9166665900000008</v>
      </c>
      <c r="Y4" s="17">
        <f t="shared" si="1"/>
        <v>1.9999999200000009</v>
      </c>
      <c r="Z4" s="17">
        <f t="shared" si="1"/>
        <v>2.0833332500000008</v>
      </c>
      <c r="AA4" s="17">
        <f t="shared" si="1"/>
        <v>2.1666665800000007</v>
      </c>
      <c r="AB4" s="17">
        <f t="shared" si="1"/>
        <v>2.2499999100000005</v>
      </c>
      <c r="AC4" s="17">
        <f t="shared" si="1"/>
        <v>2.3333332400000004</v>
      </c>
      <c r="AD4" s="17">
        <f t="shared" si="1"/>
        <v>2.4166665700000003</v>
      </c>
      <c r="AE4" s="17">
        <f t="shared" si="1"/>
        <v>2.4999999000000002</v>
      </c>
      <c r="AF4" s="17">
        <f t="shared" si="1"/>
        <v>2.58333323</v>
      </c>
      <c r="AG4" s="17">
        <f t="shared" si="1"/>
        <v>2.6666665599999999</v>
      </c>
      <c r="AH4" s="17">
        <f t="shared" si="1"/>
        <v>2.7499998899999998</v>
      </c>
      <c r="AI4" s="17">
        <f t="shared" si="1"/>
        <v>2.8333332199999997</v>
      </c>
      <c r="AJ4" s="17">
        <f t="shared" si="1"/>
        <v>2.9166665499999995</v>
      </c>
      <c r="AK4" s="17">
        <f t="shared" si="1"/>
        <v>2.9999998799999994</v>
      </c>
      <c r="AL4" s="17">
        <f t="shared" si="1"/>
        <v>3.0833332099999993</v>
      </c>
      <c r="AM4" s="17">
        <f t="shared" si="1"/>
        <v>3.1666665399999991</v>
      </c>
      <c r="AN4" s="17">
        <f t="shared" si="1"/>
        <v>3.249999869999999</v>
      </c>
      <c r="AO4" s="17">
        <f t="shared" si="1"/>
        <v>3.3333331999999989</v>
      </c>
      <c r="AP4" s="17">
        <f t="shared" si="1"/>
        <v>3.4166665299999988</v>
      </c>
      <c r="AQ4" s="17">
        <f t="shared" si="1"/>
        <v>3.4999998599999986</v>
      </c>
      <c r="AR4" s="17">
        <f t="shared" si="1"/>
        <v>3.5833331899999985</v>
      </c>
      <c r="AS4" s="17">
        <f t="shared" si="1"/>
        <v>3.6666665199999984</v>
      </c>
      <c r="AT4" s="17">
        <f t="shared" si="1"/>
        <v>3.7499998499999982</v>
      </c>
      <c r="AU4" s="17">
        <f t="shared" si="1"/>
        <v>3.8333331799999981</v>
      </c>
      <c r="AV4" s="17">
        <f t="shared" si="1"/>
        <v>3.916666509999998</v>
      </c>
      <c r="AW4" s="17">
        <f t="shared" si="1"/>
        <v>3.9999998399999979</v>
      </c>
      <c r="AX4" s="17">
        <f t="shared" si="1"/>
        <v>4.0833331699999977</v>
      </c>
      <c r="AY4" s="17">
        <f t="shared" si="1"/>
        <v>4.1666664999999981</v>
      </c>
      <c r="AZ4" s="17">
        <f t="shared" si="1"/>
        <v>4.2499998299999984</v>
      </c>
      <c r="BA4" s="17">
        <f t="shared" si="1"/>
        <v>4.3333331599999987</v>
      </c>
      <c r="BB4" s="17">
        <f t="shared" si="1"/>
        <v>4.416666489999999</v>
      </c>
      <c r="BC4" s="17">
        <f t="shared" si="1"/>
        <v>4.4999998199999993</v>
      </c>
      <c r="BD4" s="17">
        <f t="shared" si="1"/>
        <v>4.5833331499999996</v>
      </c>
      <c r="BE4" s="17">
        <f t="shared" si="1"/>
        <v>4.66666648</v>
      </c>
      <c r="BF4" s="17">
        <f t="shared" si="1"/>
        <v>4.7499998100000003</v>
      </c>
      <c r="BG4" s="17">
        <f t="shared" si="1"/>
        <v>4.8333331400000006</v>
      </c>
      <c r="BH4" s="17">
        <f t="shared" si="1"/>
        <v>4.9166664700000009</v>
      </c>
      <c r="BI4" s="17">
        <f t="shared" si="1"/>
        <v>4.9999998000000012</v>
      </c>
    </row>
    <row r="5" spans="1:61" x14ac:dyDescent="0.35">
      <c r="A5" s="14" t="e">
        <v>#VALUE!</v>
      </c>
      <c r="B5" s="15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</row>
    <row r="6" spans="1:61" x14ac:dyDescent="0.35">
      <c r="A6" s="18">
        <v>46143</v>
      </c>
      <c r="B6" s="15" t="s">
        <v>23</v>
      </c>
      <c r="C6" s="22"/>
      <c r="D6" s="22"/>
      <c r="E6" s="22"/>
      <c r="F6" s="22"/>
      <c r="G6" s="22">
        <v>4.5308709835841583</v>
      </c>
      <c r="H6" s="22">
        <v>4.5872142239085187</v>
      </c>
      <c r="I6" s="22">
        <v>4.5994920992692849</v>
      </c>
      <c r="J6" s="22">
        <v>4.5828442636439117</v>
      </c>
      <c r="K6" s="22">
        <v>4.5515009947120904</v>
      </c>
      <c r="L6" s="22">
        <v>4.5161349004907247</v>
      </c>
      <c r="M6" s="22">
        <v>4.480383356944726</v>
      </c>
      <c r="N6" s="22">
        <v>4.4456808949412636</v>
      </c>
      <c r="O6" s="22">
        <v>4.4134606789299946</v>
      </c>
      <c r="P6" s="22">
        <v>4.3851307369369996</v>
      </c>
      <c r="Q6" s="22">
        <v>4.361299923069585</v>
      </c>
      <c r="R6" s="22">
        <v>4.3416315684299596</v>
      </c>
      <c r="S6" s="22">
        <v>4.3257343381751401</v>
      </c>
      <c r="T6" s="22">
        <v>4.3132168974621452</v>
      </c>
      <c r="U6" s="22">
        <v>4.3037048686233321</v>
      </c>
      <c r="V6" s="22">
        <v>4.2969159735403935</v>
      </c>
      <c r="W6" s="22">
        <v>4.2925944915658123</v>
      </c>
      <c r="X6" s="22">
        <v>4.2904854819854226</v>
      </c>
      <c r="Y6" s="22">
        <v>4.2904092293482909</v>
      </c>
      <c r="Z6" s="22">
        <v>4.2922117077091482</v>
      </c>
      <c r="AA6" s="22">
        <v>4.2957426226393194</v>
      </c>
      <c r="AB6" s="22">
        <v>4.3008729026707995</v>
      </c>
      <c r="AC6" s="22">
        <v>4.3074809995571295</v>
      </c>
      <c r="AD6" s="22">
        <v>4.3154453739005056</v>
      </c>
      <c r="AE6" s="22">
        <v>4.3246449731487928</v>
      </c>
      <c r="AF6" s="22">
        <v>4.3349856063204761</v>
      </c>
      <c r="AG6" s="22">
        <v>4.3464073615579926</v>
      </c>
      <c r="AH6" s="22">
        <v>4.3588172447261293</v>
      </c>
      <c r="AI6" s="22">
        <v>4.3721207902784842</v>
      </c>
      <c r="AJ6" s="22">
        <v>4.3862641381206551</v>
      </c>
      <c r="AK6" s="22">
        <v>4.4012019722086588</v>
      </c>
      <c r="AL6" s="22">
        <v>4.4168892083599403</v>
      </c>
      <c r="AM6" s="22">
        <v>4.4332893533118067</v>
      </c>
      <c r="AN6" s="22">
        <v>4.4503767558790193</v>
      </c>
      <c r="AO6" s="22">
        <v>4.4681227607695817</v>
      </c>
      <c r="AP6" s="22">
        <v>4.4864934936618273</v>
      </c>
      <c r="AQ6" s="22">
        <v>4.5054547635393742</v>
      </c>
      <c r="AR6" s="22">
        <v>4.5249757263070682</v>
      </c>
      <c r="AS6" s="22">
        <v>4.5450301443042811</v>
      </c>
      <c r="AT6" s="22">
        <v>4.5655921151956305</v>
      </c>
      <c r="AU6" s="22">
        <v>4.5866357366457366</v>
      </c>
      <c r="AV6" s="22">
        <v>4.6081349296047209</v>
      </c>
      <c r="AW6" s="22">
        <v>4.6300626789573558</v>
      </c>
      <c r="AX6" s="22">
        <v>4.6523916608181555</v>
      </c>
      <c r="AY6" s="22">
        <v>4.6750945511101039</v>
      </c>
      <c r="AZ6" s="22">
        <v>4.6981440257561786</v>
      </c>
      <c r="BA6" s="22">
        <v>4.7215127606793628</v>
      </c>
      <c r="BB6" s="22">
        <v>4.7451734318026357</v>
      </c>
      <c r="BC6" s="22">
        <v>4.769098710728195</v>
      </c>
      <c r="BD6" s="22">
        <v>4.7932610771061794</v>
      </c>
      <c r="BE6" s="22">
        <v>4.8176328439609337</v>
      </c>
      <c r="BF6" s="22">
        <v>4.842187026134277</v>
      </c>
      <c r="BG6" s="22">
        <v>4.86689696164638</v>
      </c>
      <c r="BH6" s="22">
        <v>4.8917365860254174</v>
      </c>
      <c r="BI6" s="22">
        <v>4.9166829917582797</v>
      </c>
    </row>
    <row r="7" spans="1:61" x14ac:dyDescent="0.35">
      <c r="A7" s="18">
        <v>46146</v>
      </c>
      <c r="B7" s="15" t="s">
        <v>23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</row>
    <row r="8" spans="1:61" x14ac:dyDescent="0.35">
      <c r="A8" s="18">
        <v>46147</v>
      </c>
      <c r="B8" s="15" t="s">
        <v>23</v>
      </c>
      <c r="C8" s="22"/>
      <c r="D8" s="22"/>
      <c r="E8" s="22"/>
      <c r="F8" s="22"/>
      <c r="G8" s="22">
        <v>4.5994083958249234</v>
      </c>
      <c r="H8" s="22">
        <v>4.6584760125175571</v>
      </c>
      <c r="I8" s="22">
        <v>4.6749868847335252</v>
      </c>
      <c r="J8" s="22">
        <v>4.6635424511990067</v>
      </c>
      <c r="K8" s="22">
        <v>4.6377580799558444</v>
      </c>
      <c r="L8" s="22">
        <v>4.6076547343021428</v>
      </c>
      <c r="M8" s="22">
        <v>4.5765799168599397</v>
      </c>
      <c r="N8" s="22">
        <v>4.5459786167313228</v>
      </c>
      <c r="O8" s="22">
        <v>4.5172954732421005</v>
      </c>
      <c r="P8" s="22">
        <v>4.4919448028880158</v>
      </c>
      <c r="Q8" s="22">
        <v>4.470528364028012</v>
      </c>
      <c r="R8" s="22">
        <v>4.4527657277781554</v>
      </c>
      <c r="S8" s="22">
        <v>4.4383321870877266</v>
      </c>
      <c r="T8" s="22">
        <v>4.4269030349060037</v>
      </c>
      <c r="U8" s="22">
        <v>4.4181690234346771</v>
      </c>
      <c r="V8" s="22">
        <v>4.4118968887354937</v>
      </c>
      <c r="W8" s="22">
        <v>4.4078755628831079</v>
      </c>
      <c r="X8" s="22">
        <v>4.4059022628342834</v>
      </c>
      <c r="Y8" s="22">
        <v>4.4058281602279159</v>
      </c>
      <c r="Z8" s="22">
        <v>4.4075207369620788</v>
      </c>
      <c r="AA8" s="22">
        <v>4.4108504546990082</v>
      </c>
      <c r="AB8" s="22">
        <v>4.4157031538893676</v>
      </c>
      <c r="AC8" s="22">
        <v>4.4219696267394006</v>
      </c>
      <c r="AD8" s="22">
        <v>4.429540667835524</v>
      </c>
      <c r="AE8" s="22">
        <v>4.4383075829598146</v>
      </c>
      <c r="AF8" s="22">
        <v>4.448184387763523</v>
      </c>
      <c r="AG8" s="22">
        <v>4.4591108559529999</v>
      </c>
      <c r="AH8" s="22">
        <v>4.4709991810327141</v>
      </c>
      <c r="AI8" s="22">
        <v>4.4837627589054438</v>
      </c>
      <c r="AJ8" s="22">
        <v>4.497349489253029</v>
      </c>
      <c r="AK8" s="22">
        <v>4.5117138416405504</v>
      </c>
      <c r="AL8" s="22">
        <v>4.5268106623320667</v>
      </c>
      <c r="AM8" s="22">
        <v>4.5426064272162066</v>
      </c>
      <c r="AN8" s="22">
        <v>4.5590810089525853</v>
      </c>
      <c r="AO8" s="22">
        <v>4.5762086717083879</v>
      </c>
      <c r="AP8" s="22">
        <v>4.5939554579686579</v>
      </c>
      <c r="AQ8" s="22">
        <v>4.6122869827022752</v>
      </c>
      <c r="AR8" s="22">
        <v>4.6311730921259997</v>
      </c>
      <c r="AS8" s="22">
        <v>4.650588972927153</v>
      </c>
      <c r="AT8" s="22">
        <v>4.6705101534284008</v>
      </c>
      <c r="AU8" s="22">
        <v>4.6909121619524123</v>
      </c>
      <c r="AV8" s="22">
        <v>4.7117701946115753</v>
      </c>
      <c r="AW8" s="22">
        <v>4.7330578546851392</v>
      </c>
      <c r="AX8" s="22">
        <v>4.7547482686381999</v>
      </c>
      <c r="AY8" s="22">
        <v>4.7768145628481866</v>
      </c>
      <c r="AZ8" s="22">
        <v>4.7992298636925304</v>
      </c>
      <c r="BA8" s="22">
        <v>4.8219672975486603</v>
      </c>
      <c r="BB8" s="22">
        <v>4.8449999907940065</v>
      </c>
      <c r="BC8" s="22">
        <v>4.8683010883343369</v>
      </c>
      <c r="BD8" s="22">
        <v>4.8918444108374715</v>
      </c>
      <c r="BE8" s="22">
        <v>4.9156044944135626</v>
      </c>
      <c r="BF8" s="22">
        <v>4.9395550145008551</v>
      </c>
      <c r="BG8" s="22">
        <v>4.9636692726875102</v>
      </c>
      <c r="BH8" s="22">
        <v>4.9879213216414238</v>
      </c>
      <c r="BI8" s="22">
        <v>5.012288820528207</v>
      </c>
    </row>
    <row r="9" spans="1:61" x14ac:dyDescent="0.35">
      <c r="A9" s="18">
        <v>46148</v>
      </c>
      <c r="B9" s="15" t="s">
        <v>23</v>
      </c>
      <c r="C9" s="22"/>
      <c r="D9" s="22"/>
      <c r="E9" s="22"/>
      <c r="F9" s="22"/>
      <c r="G9" s="22">
        <v>4.4520011003223665</v>
      </c>
      <c r="H9" s="22">
        <v>4.501444461829796</v>
      </c>
      <c r="I9" s="22">
        <v>4.5121680119270309</v>
      </c>
      <c r="J9" s="22">
        <v>4.49792894584081</v>
      </c>
      <c r="K9" s="22">
        <v>4.4714552328411541</v>
      </c>
      <c r="L9" s="22">
        <v>4.4419287770945104</v>
      </c>
      <c r="M9" s="22">
        <v>4.4122402757601256</v>
      </c>
      <c r="N9" s="22">
        <v>4.3836469026093274</v>
      </c>
      <c r="O9" s="22">
        <v>4.3574058004333232</v>
      </c>
      <c r="P9" s="22">
        <v>4.3347401018028515</v>
      </c>
      <c r="Q9" s="22">
        <v>4.3160957108737827</v>
      </c>
      <c r="R9" s="22">
        <v>4.301144074729164</v>
      </c>
      <c r="S9" s="22">
        <v>4.2895231845021957</v>
      </c>
      <c r="T9" s="22">
        <v>4.2808710313260754</v>
      </c>
      <c r="U9" s="22">
        <v>4.2748460301627693</v>
      </c>
      <c r="V9" s="22">
        <v>4.2711975017373849</v>
      </c>
      <c r="W9" s="22">
        <v>4.2696962770435567</v>
      </c>
      <c r="X9" s="22">
        <v>4.2701187664748943</v>
      </c>
      <c r="Y9" s="22">
        <v>4.2723055627179676</v>
      </c>
      <c r="Z9" s="22">
        <v>4.2761150799705927</v>
      </c>
      <c r="AA9" s="22">
        <v>4.2814108405412252</v>
      </c>
      <c r="AB9" s="22">
        <v>4.2880802569763707</v>
      </c>
      <c r="AC9" s="22">
        <v>4.296017720756006</v>
      </c>
      <c r="AD9" s="22">
        <v>4.3051176242059528</v>
      </c>
      <c r="AE9" s="22">
        <v>4.3152748892235495</v>
      </c>
      <c r="AF9" s="22">
        <v>4.3264037520362688</v>
      </c>
      <c r="AG9" s="22">
        <v>4.3384396804917662</v>
      </c>
      <c r="AH9" s="22">
        <v>4.3513042520064902</v>
      </c>
      <c r="AI9" s="22">
        <v>4.3649241150225633</v>
      </c>
      <c r="AJ9" s="22">
        <v>4.379253165453691</v>
      </c>
      <c r="AK9" s="22">
        <v>4.3942499900632308</v>
      </c>
      <c r="AL9" s="22">
        <v>4.4098737143209643</v>
      </c>
      <c r="AM9" s="22">
        <v>4.4260975106759091</v>
      </c>
      <c r="AN9" s="22">
        <v>4.4429093453021453</v>
      </c>
      <c r="AO9" s="22">
        <v>4.4602902778896958</v>
      </c>
      <c r="AP9" s="22">
        <v>4.4782123255922892</v>
      </c>
      <c r="AQ9" s="22">
        <v>4.4966471125979082</v>
      </c>
      <c r="AR9" s="22">
        <v>4.5155702135119853</v>
      </c>
      <c r="AS9" s="22">
        <v>4.5349617773366688</v>
      </c>
      <c r="AT9" s="22">
        <v>4.5548022085476267</v>
      </c>
      <c r="AU9" s="22">
        <v>4.5750719116205234</v>
      </c>
      <c r="AV9" s="22">
        <v>4.5957506969574151</v>
      </c>
      <c r="AW9" s="22">
        <v>4.6168157949963797</v>
      </c>
      <c r="AX9" s="22">
        <v>4.6382437359775164</v>
      </c>
      <c r="AY9" s="22">
        <v>4.6600110501276424</v>
      </c>
      <c r="AZ9" s="22">
        <v>4.6820942676735706</v>
      </c>
      <c r="BA9" s="22">
        <v>4.7044699188421184</v>
      </c>
      <c r="BB9" s="22">
        <v>4.7271145338601013</v>
      </c>
      <c r="BC9" s="22">
        <v>4.750004646972867</v>
      </c>
      <c r="BD9" s="22">
        <v>4.7731169146953061</v>
      </c>
      <c r="BE9" s="22">
        <v>4.7964280417996816</v>
      </c>
      <c r="BF9" s="22">
        <v>4.8199141801937317</v>
      </c>
      <c r="BG9" s="22">
        <v>4.8435512733100952</v>
      </c>
      <c r="BH9" s="22">
        <v>4.8673159711844827</v>
      </c>
      <c r="BI9" s="22">
        <v>4.8911879940291119</v>
      </c>
    </row>
    <row r="10" spans="1:61" x14ac:dyDescent="0.35">
      <c r="A10" s="18">
        <v>46149</v>
      </c>
      <c r="B10" s="15" t="s">
        <v>23</v>
      </c>
      <c r="C10" s="22"/>
      <c r="D10" s="22"/>
      <c r="E10" s="22"/>
      <c r="F10" s="22"/>
      <c r="G10" s="22">
        <v>4.4402530159014342</v>
      </c>
      <c r="H10" s="22">
        <v>4.4876221190176047</v>
      </c>
      <c r="I10" s="22">
        <v>4.4967980045374905</v>
      </c>
      <c r="J10" s="22">
        <v>4.4815302105245776</v>
      </c>
      <c r="K10" s="22">
        <v>4.4544445321224639</v>
      </c>
      <c r="L10" s="22">
        <v>4.424494534366934</v>
      </c>
      <c r="M10" s="22">
        <v>4.3944161386976992</v>
      </c>
      <c r="N10" s="22">
        <v>4.3654760899209064</v>
      </c>
      <c r="O10" s="22">
        <v>4.338941132842697</v>
      </c>
      <c r="P10" s="22">
        <v>4.3160366970411719</v>
      </c>
      <c r="Q10" s="22">
        <v>4.2971749493693947</v>
      </c>
      <c r="R10" s="22">
        <v>4.2820243203548163</v>
      </c>
      <c r="S10" s="22">
        <v>4.2702258653996896</v>
      </c>
      <c r="T10" s="22">
        <v>4.2614206399062677</v>
      </c>
      <c r="U10" s="22">
        <v>4.2552723377428965</v>
      </c>
      <c r="V10" s="22">
        <v>4.2515359297446738</v>
      </c>
      <c r="W10" s="22">
        <v>4.2499834130150465</v>
      </c>
      <c r="X10" s="22">
        <v>4.2503900351895618</v>
      </c>
      <c r="Y10" s="22">
        <v>4.2525961121672706</v>
      </c>
      <c r="Z10" s="22">
        <v>4.2564584365153539</v>
      </c>
      <c r="AA10" s="22">
        <v>4.2618394472565644</v>
      </c>
      <c r="AB10" s="22">
        <v>4.2686255071692774</v>
      </c>
      <c r="AC10" s="22">
        <v>4.2767093140328702</v>
      </c>
      <c r="AD10" s="22">
        <v>4.2859835656689338</v>
      </c>
      <c r="AE10" s="22">
        <v>4.2963415143993089</v>
      </c>
      <c r="AF10" s="22">
        <v>4.3076932838867048</v>
      </c>
      <c r="AG10" s="22">
        <v>4.3199670618670361</v>
      </c>
      <c r="AH10" s="22">
        <v>4.3330855951165503</v>
      </c>
      <c r="AI10" s="22">
        <v>4.3469782484227419</v>
      </c>
      <c r="AJ10" s="22">
        <v>4.3615957064639552</v>
      </c>
      <c r="AK10" s="22">
        <v>4.3768919682881311</v>
      </c>
      <c r="AL10" s="22">
        <v>4.3928218160831456</v>
      </c>
      <c r="AM10" s="22">
        <v>4.4093574780256963</v>
      </c>
      <c r="AN10" s="22">
        <v>4.4264879618810644</v>
      </c>
      <c r="AO10" s="22">
        <v>4.4441934165954704</v>
      </c>
      <c r="AP10" s="22">
        <v>4.4624435899775925</v>
      </c>
      <c r="AQ10" s="22">
        <v>4.4812078880094974</v>
      </c>
      <c r="AR10" s="22">
        <v>4.5004603528994584</v>
      </c>
      <c r="AS10" s="22">
        <v>4.5201799535341856</v>
      </c>
      <c r="AT10" s="22">
        <v>4.5403458971807886</v>
      </c>
      <c r="AU10" s="22">
        <v>4.5609373911063056</v>
      </c>
      <c r="AV10" s="22">
        <v>4.5819331297836188</v>
      </c>
      <c r="AW10" s="22">
        <v>4.6033097899391668</v>
      </c>
      <c r="AX10" s="22">
        <v>4.625043552084481</v>
      </c>
      <c r="AY10" s="22">
        <v>4.6471105967310953</v>
      </c>
      <c r="AZ10" s="22">
        <v>4.6694871043905426</v>
      </c>
      <c r="BA10" s="22">
        <v>4.692149255574356</v>
      </c>
      <c r="BB10" s="22">
        <v>4.7150732307940704</v>
      </c>
      <c r="BC10" s="22">
        <v>4.738235208847918</v>
      </c>
      <c r="BD10" s="22">
        <v>4.7616113244595004</v>
      </c>
      <c r="BE10" s="22">
        <v>4.7851776666640911</v>
      </c>
      <c r="BF10" s="22">
        <v>4.8089103284638179</v>
      </c>
      <c r="BG10" s="22">
        <v>4.8327854049670673</v>
      </c>
      <c r="BH10" s="22">
        <v>4.8567797068437342</v>
      </c>
      <c r="BI10" s="22">
        <v>4.8808728603583535</v>
      </c>
    </row>
    <row r="11" spans="1:61" x14ac:dyDescent="0.35">
      <c r="A11" s="18">
        <v>46150</v>
      </c>
      <c r="B11" s="15" t="s">
        <v>23</v>
      </c>
      <c r="C11" s="22"/>
      <c r="D11" s="22"/>
      <c r="E11" s="22"/>
      <c r="F11" s="22"/>
      <c r="G11" s="22">
        <v>4.4859251207032242</v>
      </c>
      <c r="H11" s="22">
        <v>4.5301337867984071</v>
      </c>
      <c r="I11" s="22">
        <v>4.5343998453156402</v>
      </c>
      <c r="J11" s="22">
        <v>4.5139385542339454</v>
      </c>
      <c r="K11" s="22">
        <v>4.4823444344600869</v>
      </c>
      <c r="L11" s="22">
        <v>4.448654626930062</v>
      </c>
      <c r="M11" s="22">
        <v>4.4153194148971355</v>
      </c>
      <c r="N11" s="22">
        <v>4.3836211594419714</v>
      </c>
      <c r="O11" s="22">
        <v>4.3548422216452325</v>
      </c>
      <c r="P11" s="22">
        <v>4.330192702587941</v>
      </c>
      <c r="Q11" s="22">
        <v>4.3099306583712309</v>
      </c>
      <c r="R11" s="22">
        <v>4.2936421735843249</v>
      </c>
      <c r="S11" s="22">
        <v>4.280899227603955</v>
      </c>
      <c r="T11" s="22">
        <v>4.2712738285674314</v>
      </c>
      <c r="U11" s="22">
        <v>4.2643808017371487</v>
      </c>
      <c r="V11" s="22">
        <v>4.2599635516434047</v>
      </c>
      <c r="W11" s="22">
        <v>4.2577735973847561</v>
      </c>
      <c r="X11" s="22">
        <v>4.2575629887227908</v>
      </c>
      <c r="Y11" s="22">
        <v>4.2591649042312971</v>
      </c>
      <c r="Z11" s="22">
        <v>4.2624278567822449</v>
      </c>
      <c r="AA11" s="22">
        <v>4.2672096293228741</v>
      </c>
      <c r="AB11" s="22">
        <v>4.2733972638832478</v>
      </c>
      <c r="AC11" s="22">
        <v>4.2808835609789186</v>
      </c>
      <c r="AD11" s="22">
        <v>4.2895613211254364</v>
      </c>
      <c r="AE11" s="22">
        <v>4.2993237979980714</v>
      </c>
      <c r="AF11" s="22">
        <v>4.3100728515441036</v>
      </c>
      <c r="AG11" s="22">
        <v>4.321722598877006</v>
      </c>
      <c r="AH11" s="22">
        <v>4.3342025797932866</v>
      </c>
      <c r="AI11" s="22">
        <v>4.3474522277037488</v>
      </c>
      <c r="AJ11" s="22">
        <v>4.3614239560586663</v>
      </c>
      <c r="AK11" s="22">
        <v>4.3760716459255011</v>
      </c>
      <c r="AL11" s="22">
        <v>4.3913503929810389</v>
      </c>
      <c r="AM11" s="22">
        <v>4.4072330785400693</v>
      </c>
      <c r="AN11" s="22">
        <v>4.4237056222825579</v>
      </c>
      <c r="AO11" s="22">
        <v>4.4407464647652013</v>
      </c>
      <c r="AP11" s="22">
        <v>4.4583274882253452</v>
      </c>
      <c r="AQ11" s="22">
        <v>4.4764205916993358</v>
      </c>
      <c r="AR11" s="22">
        <v>4.4950013110695988</v>
      </c>
      <c r="AS11" s="22">
        <v>4.5140481691710219</v>
      </c>
      <c r="AT11" s="22">
        <v>4.5335397773192705</v>
      </c>
      <c r="AU11" s="22">
        <v>4.5534547464890345</v>
      </c>
      <c r="AV11" s="22">
        <v>4.5737712822942829</v>
      </c>
      <c r="AW11" s="22">
        <v>4.5944664002559916</v>
      </c>
      <c r="AX11" s="22">
        <v>4.6155168986083037</v>
      </c>
      <c r="AY11" s="22">
        <v>4.6368995755853657</v>
      </c>
      <c r="AZ11" s="22">
        <v>4.6585912294213232</v>
      </c>
      <c r="BA11" s="22">
        <v>4.6805686583503201</v>
      </c>
      <c r="BB11" s="22">
        <v>4.7028086606065029</v>
      </c>
      <c r="BC11" s="22">
        <v>4.7252879660102973</v>
      </c>
      <c r="BD11" s="22">
        <v>4.7479821736334227</v>
      </c>
      <c r="BE11" s="22">
        <v>4.7708663721409126</v>
      </c>
      <c r="BF11" s="22">
        <v>4.7939173096341818</v>
      </c>
      <c r="BG11" s="22">
        <v>4.8171121600245321</v>
      </c>
      <c r="BH11" s="22">
        <v>4.84042879847736</v>
      </c>
      <c r="BI11" s="22">
        <v>4.8638471589629333</v>
      </c>
    </row>
    <row r="12" spans="1:61" x14ac:dyDescent="0.35">
      <c r="A12" s="18"/>
      <c r="B12" s="15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</row>
    <row r="13" spans="1:61" x14ac:dyDescent="0.35">
      <c r="A13" s="18"/>
      <c r="B13" s="15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</row>
    <row r="14" spans="1:61" x14ac:dyDescent="0.35">
      <c r="A14" s="18"/>
      <c r="B14" s="15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</row>
    <row r="15" spans="1:61" x14ac:dyDescent="0.35">
      <c r="A15" s="18"/>
      <c r="B15" s="15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</row>
    <row r="16" spans="1:61" x14ac:dyDescent="0.35">
      <c r="A16" s="18"/>
      <c r="B16" s="15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</row>
    <row r="17" spans="1:61" x14ac:dyDescent="0.35">
      <c r="A17" s="18"/>
      <c r="B17" s="15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</row>
    <row r="18" spans="1:61" x14ac:dyDescent="0.35">
      <c r="A18" s="18"/>
      <c r="B18" s="15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</row>
    <row r="19" spans="1:61" x14ac:dyDescent="0.35">
      <c r="A19" s="18"/>
      <c r="B19" s="15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</row>
    <row r="20" spans="1:61" x14ac:dyDescent="0.35">
      <c r="A20" s="18"/>
      <c r="B20" s="15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</row>
    <row r="21" spans="1:61" x14ac:dyDescent="0.35">
      <c r="A21" s="18"/>
      <c r="B21" s="15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</row>
    <row r="22" spans="1:61" x14ac:dyDescent="0.35">
      <c r="A22" s="18"/>
      <c r="B22" s="15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</row>
    <row r="23" spans="1:61" x14ac:dyDescent="0.35">
      <c r="A23" s="18"/>
      <c r="B23" s="15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</row>
    <row r="24" spans="1:61" x14ac:dyDescent="0.35">
      <c r="A24" s="18"/>
      <c r="B24" s="15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</row>
    <row r="25" spans="1:61" x14ac:dyDescent="0.35">
      <c r="A25" s="18"/>
      <c r="B25" s="15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</row>
    <row r="26" spans="1:61" x14ac:dyDescent="0.35">
      <c r="A26" s="18"/>
      <c r="B26" s="15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</row>
    <row r="27" spans="1:61" x14ac:dyDescent="0.35">
      <c r="A27" s="18"/>
      <c r="B27" s="1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</row>
    <row r="28" spans="1:61" x14ac:dyDescent="0.35">
      <c r="A28" s="18"/>
      <c r="B28" s="1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</row>
    <row r="29" spans="1:61" x14ac:dyDescent="0.3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</row>
    <row r="30" spans="1:61" x14ac:dyDescent="0.3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</row>
    <row r="31" spans="1:61" x14ac:dyDescent="0.3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</row>
    <row r="32" spans="1:61" x14ac:dyDescent="0.3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</row>
    <row r="33" spans="1:61" x14ac:dyDescent="0.35">
      <c r="A33" s="1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</row>
    <row r="34" spans="1:61" x14ac:dyDescent="0.35">
      <c r="A34" s="1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</row>
    <row r="35" spans="1:61" x14ac:dyDescent="0.35">
      <c r="A35" s="1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</row>
    <row r="36" spans="1:61" x14ac:dyDescent="0.35">
      <c r="A36" s="1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</row>
    <row r="37" spans="1:61" x14ac:dyDescent="0.35">
      <c r="A37" s="1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</row>
    <row r="38" spans="1:61" x14ac:dyDescent="0.35">
      <c r="A38" s="1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</row>
    <row r="39" spans="1:61" x14ac:dyDescent="0.35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</row>
    <row r="40" spans="1:61" x14ac:dyDescent="0.35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1:61" x14ac:dyDescent="0.35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1:61" x14ac:dyDescent="0.35">
      <c r="A42" s="1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1:61" x14ac:dyDescent="0.35">
      <c r="A43" s="1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1:61" x14ac:dyDescent="0.35">
      <c r="A44" s="1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1:61" x14ac:dyDescent="0.35">
      <c r="A45" s="1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1:61" x14ac:dyDescent="0.35">
      <c r="A46" s="1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1:61" x14ac:dyDescent="0.35">
      <c r="A47" s="1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1:61" x14ac:dyDescent="0.35">
      <c r="A48" s="1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1:61" x14ac:dyDescent="0.35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1:61" x14ac:dyDescent="0.35">
      <c r="A50" s="1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</row>
    <row r="51" spans="1:61" x14ac:dyDescent="0.3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</row>
    <row r="52" spans="1:61" x14ac:dyDescent="0.35">
      <c r="A52" s="1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1:61" x14ac:dyDescent="0.35">
      <c r="A53" s="1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1:61" x14ac:dyDescent="0.35">
      <c r="A54" s="1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1:61" x14ac:dyDescent="0.35">
      <c r="A55" s="1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1:61" x14ac:dyDescent="0.35">
      <c r="A56" s="1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1:61" x14ac:dyDescent="0.35">
      <c r="A57" s="1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1:61" x14ac:dyDescent="0.35">
      <c r="A58" s="1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1:61" x14ac:dyDescent="0.35">
      <c r="A59" s="1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0" spans="1:61" x14ac:dyDescent="0.35">
      <c r="A60" s="1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</row>
    <row r="61" spans="1:61" x14ac:dyDescent="0.35">
      <c r="A61" s="1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</row>
    <row r="62" spans="1:61" x14ac:dyDescent="0.35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</row>
    <row r="63" spans="1:61" x14ac:dyDescent="0.35"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</row>
    <row r="64" spans="1:61" x14ac:dyDescent="0.35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</row>
    <row r="65" spans="2:61" x14ac:dyDescent="0.35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</row>
    <row r="66" spans="2:61" x14ac:dyDescent="0.35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</row>
    <row r="67" spans="2:61" x14ac:dyDescent="0.35"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</row>
    <row r="68" spans="2:61" x14ac:dyDescent="0.35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</row>
    <row r="69" spans="2:61" x14ac:dyDescent="0.35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</row>
    <row r="70" spans="2:61" x14ac:dyDescent="0.35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</row>
    <row r="71" spans="2:61" x14ac:dyDescent="0.35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</row>
    <row r="72" spans="2:61" x14ac:dyDescent="0.35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</row>
    <row r="73" spans="2:61" x14ac:dyDescent="0.35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</row>
    <row r="74" spans="2:61" x14ac:dyDescent="0.35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</row>
    <row r="75" spans="2:61" x14ac:dyDescent="0.35"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25"/>
      <c r="AK75" s="25"/>
      <c r="AL75" s="25"/>
      <c r="AM75" s="25"/>
      <c r="AN75" s="25"/>
      <c r="AO75" s="25"/>
      <c r="AP75" s="25"/>
      <c r="AQ75" s="25"/>
      <c r="AR75" s="25"/>
      <c r="AS75" s="25"/>
      <c r="AT75" s="25"/>
      <c r="AU75" s="25"/>
      <c r="AV75" s="25"/>
      <c r="AW75" s="25"/>
      <c r="AX75" s="25"/>
      <c r="AY75" s="25"/>
      <c r="AZ75" s="25"/>
      <c r="BA75" s="25"/>
      <c r="BB75" s="25"/>
      <c r="BC75" s="25"/>
      <c r="BD75" s="25"/>
      <c r="BE75" s="25"/>
      <c r="BF75" s="25"/>
      <c r="BG75" s="25"/>
      <c r="BH75" s="25"/>
      <c r="BI75" s="25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C82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4.5" x14ac:dyDescent="0.35"/>
  <sheetData>
    <row r="1" spans="1:81" ht="17.5" x14ac:dyDescent="0.35">
      <c r="B1" s="19" t="s">
        <v>19</v>
      </c>
    </row>
    <row r="3" spans="1:81" x14ac:dyDescent="0.35">
      <c r="A3" s="20" t="s">
        <v>15</v>
      </c>
    </row>
    <row r="4" spans="1:81" x14ac:dyDescent="0.35">
      <c r="A4" s="21" t="s">
        <v>16</v>
      </c>
      <c r="B4" s="21">
        <v>0.5</v>
      </c>
      <c r="C4" s="21">
        <v>1</v>
      </c>
      <c r="D4" s="21">
        <v>1.5</v>
      </c>
      <c r="E4" s="21">
        <v>2</v>
      </c>
      <c r="F4" s="21">
        <v>2.5</v>
      </c>
      <c r="G4" s="21">
        <v>3</v>
      </c>
      <c r="H4" s="21">
        <v>3.5</v>
      </c>
      <c r="I4" s="21">
        <v>4</v>
      </c>
      <c r="J4" s="21">
        <v>4.5</v>
      </c>
      <c r="K4" s="21">
        <v>5</v>
      </c>
      <c r="L4" s="21">
        <v>5.5</v>
      </c>
      <c r="M4" s="21">
        <v>6</v>
      </c>
      <c r="N4" s="21">
        <v>6.5</v>
      </c>
      <c r="O4" s="21">
        <v>7</v>
      </c>
      <c r="P4" s="21">
        <v>7.5</v>
      </c>
      <c r="Q4" s="21">
        <v>8</v>
      </c>
      <c r="R4" s="21">
        <v>8.5</v>
      </c>
      <c r="S4" s="21">
        <v>9</v>
      </c>
      <c r="T4" s="21">
        <v>9.5</v>
      </c>
      <c r="U4" s="21">
        <v>10</v>
      </c>
      <c r="V4" s="21">
        <v>10.5</v>
      </c>
      <c r="W4" s="21">
        <v>11</v>
      </c>
      <c r="X4" s="21">
        <v>11.5</v>
      </c>
      <c r="Y4" s="21">
        <v>12</v>
      </c>
      <c r="Z4" s="21">
        <v>12.5</v>
      </c>
      <c r="AA4" s="21">
        <v>13</v>
      </c>
      <c r="AB4" s="21">
        <v>13.5</v>
      </c>
      <c r="AC4" s="21">
        <v>14</v>
      </c>
      <c r="AD4" s="21">
        <v>14.5</v>
      </c>
      <c r="AE4" s="21">
        <v>15</v>
      </c>
      <c r="AF4" s="21">
        <v>15.5</v>
      </c>
      <c r="AG4" s="21">
        <v>16</v>
      </c>
      <c r="AH4" s="21">
        <v>16.5</v>
      </c>
      <c r="AI4" s="21">
        <v>17</v>
      </c>
      <c r="AJ4" s="21">
        <v>17.5</v>
      </c>
      <c r="AK4" s="21">
        <v>18</v>
      </c>
      <c r="AL4" s="21">
        <v>18.5</v>
      </c>
      <c r="AM4" s="21">
        <v>19</v>
      </c>
      <c r="AN4" s="21">
        <v>19.5</v>
      </c>
      <c r="AO4" s="21">
        <v>20</v>
      </c>
      <c r="AP4" s="21">
        <v>20.5</v>
      </c>
      <c r="AQ4" s="21">
        <v>21</v>
      </c>
      <c r="AR4" s="21">
        <v>21.5</v>
      </c>
      <c r="AS4" s="21">
        <v>22</v>
      </c>
      <c r="AT4" s="21">
        <v>22.5</v>
      </c>
      <c r="AU4" s="21">
        <v>23</v>
      </c>
      <c r="AV4" s="21">
        <v>23.5</v>
      </c>
      <c r="AW4" s="21">
        <v>24</v>
      </c>
      <c r="AX4" s="21">
        <v>24.5</v>
      </c>
      <c r="AY4" s="21">
        <v>25</v>
      </c>
      <c r="AZ4" s="21">
        <v>25.5</v>
      </c>
      <c r="BA4" s="21">
        <v>26</v>
      </c>
      <c r="BB4" s="21">
        <v>26.5</v>
      </c>
      <c r="BC4" s="21">
        <v>27</v>
      </c>
      <c r="BD4" s="21">
        <v>27.5</v>
      </c>
      <c r="BE4" s="21">
        <v>28</v>
      </c>
      <c r="BF4" s="21">
        <v>28.5</v>
      </c>
      <c r="BG4" s="21">
        <v>29</v>
      </c>
      <c r="BH4" s="21">
        <v>29.5</v>
      </c>
      <c r="BI4" s="21">
        <v>30</v>
      </c>
      <c r="BJ4" s="21">
        <v>30.5</v>
      </c>
      <c r="BK4" s="21">
        <v>31</v>
      </c>
      <c r="BL4" s="21">
        <v>31.5</v>
      </c>
      <c r="BM4" s="21">
        <v>32</v>
      </c>
      <c r="BN4" s="21">
        <v>32.5</v>
      </c>
      <c r="BO4" s="21">
        <v>33</v>
      </c>
      <c r="BP4" s="21">
        <v>33.5</v>
      </c>
      <c r="BQ4" s="21">
        <v>34</v>
      </c>
      <c r="BR4" s="21">
        <v>34.5</v>
      </c>
      <c r="BS4" s="21">
        <v>35</v>
      </c>
      <c r="BT4" s="21">
        <v>35.5</v>
      </c>
      <c r="BU4" s="21">
        <v>36</v>
      </c>
      <c r="BV4" s="21">
        <v>36.5</v>
      </c>
      <c r="BW4" s="21">
        <v>37</v>
      </c>
      <c r="BX4" s="21">
        <v>37.5</v>
      </c>
      <c r="BY4" s="21">
        <v>38</v>
      </c>
      <c r="BZ4" s="21">
        <v>38.5</v>
      </c>
      <c r="CA4" s="21">
        <v>39</v>
      </c>
      <c r="CB4" s="21">
        <v>39.5</v>
      </c>
      <c r="CC4" s="21">
        <v>40</v>
      </c>
    </row>
    <row r="5" spans="1:81" x14ac:dyDescent="0.35">
      <c r="A5" s="14" t="e">
        <v>#VALUE!</v>
      </c>
      <c r="B5" s="15"/>
    </row>
    <row r="6" spans="1:81" x14ac:dyDescent="0.35">
      <c r="A6" s="18">
        <v>46143</v>
      </c>
      <c r="B6" s="15">
        <v>4.5308710036057329</v>
      </c>
      <c r="C6" s="22">
        <v>4.4803833399211106</v>
      </c>
      <c r="D6" s="22">
        <v>4.3257343279928193</v>
      </c>
      <c r="E6" s="22">
        <v>4.2904092302015213</v>
      </c>
      <c r="F6" s="22">
        <v>4.3246449848850332</v>
      </c>
      <c r="G6" s="22">
        <v>4.4012019942694209</v>
      </c>
      <c r="H6" s="22">
        <v>4.5054547958719864</v>
      </c>
      <c r="I6" s="22">
        <v>4.630062721452564</v>
      </c>
      <c r="J6" s="22">
        <v>4.7690987626728427</v>
      </c>
      <c r="K6" s="22">
        <v>4.9166830517403</v>
      </c>
      <c r="L6" s="22">
        <v>5.0673908166555055</v>
      </c>
      <c r="M6" s="22">
        <v>5.2168541762824159</v>
      </c>
      <c r="N6" s="22">
        <v>5.3616981383410911</v>
      </c>
      <c r="O6" s="22">
        <v>5.4995158572227201</v>
      </c>
      <c r="P6" s="22">
        <v>5.6287099765249797</v>
      </c>
      <c r="Q6" s="22">
        <v>5.7483738090343435</v>
      </c>
      <c r="R6" s="22">
        <v>5.8579597672523489</v>
      </c>
      <c r="S6" s="22">
        <v>5.9573120814918958</v>
      </c>
      <c r="T6" s="22">
        <v>6.0464856490853691</v>
      </c>
      <c r="U6" s="22">
        <v>6.1257193491793638</v>
      </c>
      <c r="V6" s="22">
        <v>6.1954496107097716</v>
      </c>
      <c r="W6" s="22">
        <v>6.2561550251357874</v>
      </c>
      <c r="X6" s="22">
        <v>6.308265723708617</v>
      </c>
      <c r="Y6" s="22">
        <v>6.3521433329521653</v>
      </c>
      <c r="Z6" s="22">
        <v>6.3880805292664364</v>
      </c>
      <c r="AA6" s="22">
        <v>6.4163810974090119</v>
      </c>
      <c r="AB6" s="22">
        <v>6.437316497550599</v>
      </c>
      <c r="AC6" s="22">
        <v>6.4512610475745777</v>
      </c>
      <c r="AD6" s="22">
        <v>6.458678696523795</v>
      </c>
      <c r="AE6" s="22">
        <v>6.4601220693132326</v>
      </c>
      <c r="AF6" s="22">
        <v>6.4561475736924336</v>
      </c>
      <c r="AG6" s="22">
        <v>6.447275449445276</v>
      </c>
      <c r="AH6" s="22">
        <v>6.434042536548934</v>
      </c>
      <c r="AI6" s="22">
        <v>6.4169996953823611</v>
      </c>
      <c r="AJ6" s="22">
        <v>6.3967721227749328</v>
      </c>
      <c r="AK6" s="22">
        <v>6.3740179532713768</v>
      </c>
      <c r="AL6" s="22">
        <v>6.3493264021737188</v>
      </c>
      <c r="AM6" s="22">
        <v>6.3232119127934903</v>
      </c>
      <c r="AN6" s="22">
        <v>6.2960569076722814</v>
      </c>
      <c r="AO6" s="22">
        <v>6.2681207164488368</v>
      </c>
      <c r="AP6" s="22">
        <v>6.2395660600100076</v>
      </c>
      <c r="AQ6" s="22">
        <v>6.2104548755657856</v>
      </c>
      <c r="AR6" s="22">
        <v>6.1807976231107133</v>
      </c>
      <c r="AS6" s="22">
        <v>6.1505078845972623</v>
      </c>
      <c r="AT6" s="22">
        <v>6.1194306967497871</v>
      </c>
      <c r="AU6" s="22">
        <v>6.0874064831720904</v>
      </c>
      <c r="AV6" s="22">
        <v>6.0542312155215257</v>
      </c>
      <c r="AW6" s="22">
        <v>6.0196595540647699</v>
      </c>
      <c r="AX6" s="22">
        <v>5.9834417640742492</v>
      </c>
      <c r="AY6" s="22">
        <v>5.9453267087622477</v>
      </c>
      <c r="AZ6" s="22">
        <v>5.9050644492751232</v>
      </c>
      <c r="BA6" s="22">
        <v>5.8624390836247278</v>
      </c>
      <c r="BB6" s="22">
        <v>5.8172727322326523</v>
      </c>
      <c r="BC6" s="22">
        <v>5.7694495992753598</v>
      </c>
      <c r="BD6" s="22">
        <v>5.7189092124960101</v>
      </c>
      <c r="BE6" s="22">
        <v>5.6656128334942029</v>
      </c>
      <c r="BF6" s="22">
        <v>5.6095928056873605</v>
      </c>
      <c r="BG6" s="22">
        <v>5.5508907624124166</v>
      </c>
      <c r="BH6" s="22">
        <v>5.4895806481089995</v>
      </c>
      <c r="BI6" s="22">
        <v>5.4257542868722064</v>
      </c>
      <c r="BJ6" s="22">
        <v>5.3595191220065077</v>
      </c>
      <c r="BK6" s="22">
        <v>5.2909610830225153</v>
      </c>
      <c r="BL6" s="22">
        <v>5.2201630067939684</v>
      </c>
      <c r="BM6" s="22">
        <v>5.1471923763134999</v>
      </c>
      <c r="BN6" s="22">
        <v>5.072102225817674</v>
      </c>
      <c r="BO6" s="22">
        <v>4.9949450278760761</v>
      </c>
      <c r="BP6" s="22">
        <v>4.9157732550582871</v>
      </c>
      <c r="BQ6" s="22">
        <v>4.834638898369584</v>
      </c>
      <c r="BR6" s="22">
        <v>4.7515838725521515</v>
      </c>
      <c r="BS6" s="22">
        <v>4.6666405420479968</v>
      </c>
      <c r="BT6" s="22">
        <v>4.5798408950256899</v>
      </c>
      <c r="BU6" s="22">
        <v>4.4912235178447988</v>
      </c>
      <c r="BV6" s="22">
        <v>4.400852746858126</v>
      </c>
      <c r="BW6" s="22">
        <v>4.308799199118881</v>
      </c>
      <c r="BX6" s="22">
        <v>4.2151334917292269</v>
      </c>
      <c r="BY6" s="22">
        <v>4.119933581753747</v>
      </c>
      <c r="BZ6" s="22">
        <v>4.0233051452736559</v>
      </c>
      <c r="CA6" s="22">
        <v>3.9253604005981977</v>
      </c>
      <c r="CB6" s="22">
        <v>3.8262116439109928</v>
      </c>
      <c r="CC6" s="22">
        <v>3.7259728211761391</v>
      </c>
    </row>
    <row r="7" spans="1:81" x14ac:dyDescent="0.35">
      <c r="A7" s="18">
        <v>46146</v>
      </c>
      <c r="B7" s="15" t="s">
        <v>23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</row>
    <row r="8" spans="1:81" x14ac:dyDescent="0.35">
      <c r="A8" s="18">
        <v>46147</v>
      </c>
      <c r="B8" s="15">
        <v>4.5994084162763977</v>
      </c>
      <c r="C8" s="22">
        <v>4.5765799019420994</v>
      </c>
      <c r="D8" s="22">
        <v>4.4383321778161218</v>
      </c>
      <c r="E8" s="22">
        <v>4.4058281610259868</v>
      </c>
      <c r="F8" s="22">
        <v>4.4383075941579042</v>
      </c>
      <c r="G8" s="22">
        <v>4.5117138628632523</v>
      </c>
      <c r="H8" s="22">
        <v>4.612287013972229</v>
      </c>
      <c r="I8" s="22">
        <v>4.733057895952693</v>
      </c>
      <c r="J8" s="22">
        <v>4.8683011389354709</v>
      </c>
      <c r="K8" s="22">
        <v>5.0122888791317379</v>
      </c>
      <c r="L8" s="22">
        <v>5.1597386603633826</v>
      </c>
      <c r="M8" s="22">
        <v>5.306394881400978</v>
      </c>
      <c r="N8" s="22">
        <v>5.4489775180594933</v>
      </c>
      <c r="O8" s="22">
        <v>5.5851486889333746</v>
      </c>
      <c r="P8" s="22">
        <v>5.7133454933861181</v>
      </c>
      <c r="Q8" s="22">
        <v>5.8326439869223305</v>
      </c>
      <c r="R8" s="22">
        <v>5.9424345737277822</v>
      </c>
      <c r="S8" s="22">
        <v>6.042464694964722</v>
      </c>
      <c r="T8" s="22">
        <v>6.1326772721434537</v>
      </c>
      <c r="U8" s="22">
        <v>6.2131874357283801</v>
      </c>
      <c r="V8" s="22">
        <v>6.2843109030645659</v>
      </c>
      <c r="W8" s="22">
        <v>6.346419264091943</v>
      </c>
      <c r="X8" s="22">
        <v>6.3998579379749234</v>
      </c>
      <c r="Y8" s="22">
        <v>6.4449197312698479</v>
      </c>
      <c r="Z8" s="22">
        <v>6.4818610771441438</v>
      </c>
      <c r="AA8" s="22">
        <v>6.5109584349578826</v>
      </c>
      <c r="AB8" s="22">
        <v>6.532479247211576</v>
      </c>
      <c r="AC8" s="22">
        <v>6.5468110404817983</v>
      </c>
      <c r="AD8" s="22">
        <v>6.5544357472345673</v>
      </c>
      <c r="AE8" s="22">
        <v>6.555933698146033</v>
      </c>
      <c r="AF8" s="22">
        <v>6.5518860337150544</v>
      </c>
      <c r="AG8" s="22">
        <v>6.5428411284819461</v>
      </c>
      <c r="AH8" s="22">
        <v>6.5293599595819236</v>
      </c>
      <c r="AI8" s="22">
        <v>6.5120156970972216</v>
      </c>
      <c r="AJ8" s="22">
        <v>6.4914486146717518</v>
      </c>
      <c r="AK8" s="22">
        <v>6.4683289295946382</v>
      </c>
      <c r="AL8" s="22">
        <v>6.443255367223494</v>
      </c>
      <c r="AM8" s="22">
        <v>6.4167475216176193</v>
      </c>
      <c r="AN8" s="22">
        <v>6.389191189602955</v>
      </c>
      <c r="AO8" s="22">
        <v>6.3608490564910785</v>
      </c>
      <c r="AP8" s="22">
        <v>6.3318851221873178</v>
      </c>
      <c r="AQ8" s="22">
        <v>6.3023613731366153</v>
      </c>
      <c r="AR8" s="22">
        <v>6.2722865196229414</v>
      </c>
      <c r="AS8" s="22">
        <v>6.2415720162008483</v>
      </c>
      <c r="AT8" s="22">
        <v>6.2100618631746682</v>
      </c>
      <c r="AU8" s="22">
        <v>6.1775954888299562</v>
      </c>
      <c r="AV8" s="22">
        <v>6.1439677129644501</v>
      </c>
      <c r="AW8" s="22">
        <v>6.1089325322740304</v>
      </c>
      <c r="AX8" s="22">
        <v>6.0722400297471131</v>
      </c>
      <c r="AY8" s="22">
        <v>6.0336392164952519</v>
      </c>
      <c r="AZ8" s="22">
        <v>5.9928808154741624</v>
      </c>
      <c r="BA8" s="22">
        <v>5.949750969781296</v>
      </c>
      <c r="BB8" s="22">
        <v>5.9040747656242267</v>
      </c>
      <c r="BC8" s="22">
        <v>5.8557401684407973</v>
      </c>
      <c r="BD8" s="22">
        <v>5.8046904023559245</v>
      </c>
      <c r="BE8" s="22">
        <v>5.7508907305482273</v>
      </c>
      <c r="BF8" s="22">
        <v>5.6943776546171359</v>
      </c>
      <c r="BG8" s="22">
        <v>5.6351976435837443</v>
      </c>
      <c r="BH8" s="22">
        <v>5.5734294851024675</v>
      </c>
      <c r="BI8" s="22">
        <v>5.5091692032832178</v>
      </c>
      <c r="BJ8" s="22">
        <v>5.442527447111047</v>
      </c>
      <c r="BK8" s="22">
        <v>5.3735943350634932</v>
      </c>
      <c r="BL8" s="22">
        <v>5.3024570020198896</v>
      </c>
      <c r="BM8" s="22">
        <v>5.2291862688596638</v>
      </c>
      <c r="BN8" s="22">
        <v>5.1538378222027097</v>
      </c>
      <c r="BO8" s="22">
        <v>5.0764667761061864</v>
      </c>
      <c r="BP8" s="22">
        <v>4.9971282446272527</v>
      </c>
      <c r="BQ8" s="22">
        <v>4.9158767846885683</v>
      </c>
      <c r="BR8" s="22">
        <v>4.8327555791514012</v>
      </c>
      <c r="BS8" s="22">
        <v>4.7477971835932484</v>
      </c>
      <c r="BT8" s="22">
        <v>4.6610337460441498</v>
      </c>
      <c r="BU8" s="22">
        <v>4.5725036494729538</v>
      </c>
      <c r="BV8" s="22">
        <v>4.4822692126771608</v>
      </c>
      <c r="BW8" s="22">
        <v>4.3903984974541865</v>
      </c>
      <c r="BX8" s="22">
        <v>4.2969595657031903</v>
      </c>
      <c r="BY8" s="22">
        <v>4.202027775595309</v>
      </c>
      <c r="BZ8" s="22">
        <v>4.1057055908156599</v>
      </c>
      <c r="CA8" s="22">
        <v>4.0081017680882587</v>
      </c>
      <c r="CB8" s="22">
        <v>3.9093251604127</v>
      </c>
      <c r="CC8" s="22">
        <v>3.8094866105587997</v>
      </c>
    </row>
    <row r="9" spans="1:81" x14ac:dyDescent="0.35">
      <c r="A9" s="18">
        <v>46148</v>
      </c>
      <c r="B9" s="15">
        <v>4.4520011179362315</v>
      </c>
      <c r="C9" s="22">
        <v>4.4122402616719034</v>
      </c>
      <c r="D9" s="22">
        <v>4.2895231772473421</v>
      </c>
      <c r="E9" s="22">
        <v>4.2723055656188533</v>
      </c>
      <c r="F9" s="22">
        <v>4.3152749020081274</v>
      </c>
      <c r="G9" s="22">
        <v>4.3942500121195796</v>
      </c>
      <c r="H9" s="22">
        <v>4.4966471439842381</v>
      </c>
      <c r="I9" s="22">
        <v>4.61681583579721</v>
      </c>
      <c r="J9" s="22">
        <v>4.7500046966637992</v>
      </c>
      <c r="K9" s="22">
        <v>4.8911880514352015</v>
      </c>
      <c r="L9" s="22">
        <v>5.0355949043582386</v>
      </c>
      <c r="M9" s="22">
        <v>5.1793195999802162</v>
      </c>
      <c r="N9" s="22">
        <v>5.3192970498134384</v>
      </c>
      <c r="O9" s="22">
        <v>5.4532955850030138</v>
      </c>
      <c r="P9" s="22">
        <v>5.5798160204670051</v>
      </c>
      <c r="Q9" s="22">
        <v>5.6979499884291265</v>
      </c>
      <c r="R9" s="22">
        <v>5.807077951325569</v>
      </c>
      <c r="S9" s="22">
        <v>5.9069271068166174</v>
      </c>
      <c r="T9" s="22">
        <v>5.9974153862255317</v>
      </c>
      <c r="U9" s="22">
        <v>6.078624821888778</v>
      </c>
      <c r="V9" s="22">
        <v>6.150831151168985</v>
      </c>
      <c r="W9" s="22">
        <v>6.2143525308599239</v>
      </c>
      <c r="X9" s="22">
        <v>6.2694768963520611</v>
      </c>
      <c r="Y9" s="22">
        <v>6.3164397144088742</v>
      </c>
      <c r="Z9" s="22">
        <v>6.3554380981059397</v>
      </c>
      <c r="AA9" s="22">
        <v>6.3866840873773949</v>
      </c>
      <c r="AB9" s="22">
        <v>6.4103807537672823</v>
      </c>
      <c r="AC9" s="22">
        <v>6.426853520247958</v>
      </c>
      <c r="AD9" s="22">
        <v>6.4365264433564162</v>
      </c>
      <c r="AE9" s="22">
        <v>6.4399261053905139</v>
      </c>
      <c r="AF9" s="22">
        <v>6.437586759749971</v>
      </c>
      <c r="AG9" s="22">
        <v>6.4300229479398539</v>
      </c>
      <c r="AH9" s="22">
        <v>6.4177825081896289</v>
      </c>
      <c r="AI9" s="22">
        <v>6.4014324950677413</v>
      </c>
      <c r="AJ9" s="22">
        <v>6.381626604756339</v>
      </c>
      <c r="AK9" s="22">
        <v>6.3590603336732592</v>
      </c>
      <c r="AL9" s="22">
        <v>6.3343655518637689</v>
      </c>
      <c r="AM9" s="22">
        <v>6.3080939082733796</v>
      </c>
      <c r="AN9" s="22">
        <v>6.2806612801870259</v>
      </c>
      <c r="AO9" s="22">
        <v>6.2523601365528592</v>
      </c>
      <c r="AP9" s="22">
        <v>6.2233807063389843</v>
      </c>
      <c r="AQ9" s="22">
        <v>6.1938086665828953</v>
      </c>
      <c r="AR9" s="22">
        <v>6.1636752629346505</v>
      </c>
      <c r="AS9" s="22">
        <v>6.1329099807316219</v>
      </c>
      <c r="AT9" s="22">
        <v>6.1013719731595693</v>
      </c>
      <c r="AU9" s="22">
        <v>6.0689155206454206</v>
      </c>
      <c r="AV9" s="22">
        <v>6.0353462079331273</v>
      </c>
      <c r="AW9" s="22">
        <v>6.000425493801294</v>
      </c>
      <c r="AX9" s="22">
        <v>5.9639092421308222</v>
      </c>
      <c r="AY9" s="22">
        <v>5.9255507788430837</v>
      </c>
      <c r="AZ9" s="22">
        <v>5.8851025131630816</v>
      </c>
      <c r="BA9" s="22">
        <v>5.8423524001211815</v>
      </c>
      <c r="BB9" s="22">
        <v>5.7971276650418151</v>
      </c>
      <c r="BC9" s="22">
        <v>5.7493189109456351</v>
      </c>
      <c r="BD9" s="22">
        <v>5.6988716846282763</v>
      </c>
      <c r="BE9" s="22">
        <v>5.6457535878808072</v>
      </c>
      <c r="BF9" s="22">
        <v>5.5900025873507415</v>
      </c>
      <c r="BG9" s="22">
        <v>5.5316666079600836</v>
      </c>
      <c r="BH9" s="22">
        <v>5.470825099870793</v>
      </c>
      <c r="BI9" s="22">
        <v>5.4075743040853332</v>
      </c>
      <c r="BJ9" s="22">
        <v>5.3420242563369928</v>
      </c>
      <c r="BK9" s="22">
        <v>5.2742636820975699</v>
      </c>
      <c r="BL9" s="22">
        <v>5.2043782658507505</v>
      </c>
      <c r="BM9" s="22">
        <v>5.1324361826789833</v>
      </c>
      <c r="BN9" s="22">
        <v>5.0584895951783437</v>
      </c>
      <c r="BO9" s="22">
        <v>4.9825900765660016</v>
      </c>
      <c r="BP9" s="22">
        <v>4.9047892000591338</v>
      </c>
      <c r="BQ9" s="22">
        <v>4.8251379682388205</v>
      </c>
      <c r="BR9" s="22">
        <v>4.7436760144448522</v>
      </c>
      <c r="BS9" s="22">
        <v>4.6604325001090778</v>
      </c>
      <c r="BT9" s="22">
        <v>4.5754361959171987</v>
      </c>
      <c r="BU9" s="22">
        <v>4.4887223153009881</v>
      </c>
      <c r="BV9" s="22">
        <v>4.4003504024130837</v>
      </c>
      <c r="BW9" s="22">
        <v>4.3103857439304436</v>
      </c>
      <c r="BX9" s="22">
        <v>4.2188936267089705</v>
      </c>
      <c r="BY9" s="22">
        <v>4.125946482192461</v>
      </c>
      <c r="BZ9" s="22">
        <v>4.0316428521689929</v>
      </c>
      <c r="CA9" s="22">
        <v>3.9360872414558585</v>
      </c>
      <c r="CB9" s="22">
        <v>3.8393842781659941</v>
      </c>
      <c r="CC9" s="22">
        <v>3.7416410769682162</v>
      </c>
    </row>
    <row r="10" spans="1:81" x14ac:dyDescent="0.35">
      <c r="A10" s="18">
        <v>46149</v>
      </c>
      <c r="B10" s="15">
        <v>4.4402530329539465</v>
      </c>
      <c r="C10" s="22">
        <v>4.3944161244319329</v>
      </c>
      <c r="D10" s="22">
        <v>4.2702258580254382</v>
      </c>
      <c r="E10" s="22">
        <v>4.2525961151030174</v>
      </c>
      <c r="F10" s="22">
        <v>4.2963415274396457</v>
      </c>
      <c r="G10" s="22">
        <v>4.3768919907814086</v>
      </c>
      <c r="H10" s="22">
        <v>4.4812079199496031</v>
      </c>
      <c r="I10" s="22">
        <v>4.6033098313327967</v>
      </c>
      <c r="J10" s="22">
        <v>4.7382352591176691</v>
      </c>
      <c r="K10" s="22">
        <v>4.8808729182848012</v>
      </c>
      <c r="L10" s="22">
        <v>5.0264172636639284</v>
      </c>
      <c r="M10" s="22">
        <v>5.1709409519799179</v>
      </c>
      <c r="N10" s="22">
        <v>5.3113737851751894</v>
      </c>
      <c r="O10" s="22">
        <v>5.4455011060805569</v>
      </c>
      <c r="P10" s="22">
        <v>5.5718622487567568</v>
      </c>
      <c r="Q10" s="22">
        <v>5.6896091513878142</v>
      </c>
      <c r="R10" s="22">
        <v>5.7981891221105615</v>
      </c>
      <c r="S10" s="22">
        <v>5.8974053004252083</v>
      </c>
      <c r="T10" s="22">
        <v>5.9872397317308277</v>
      </c>
      <c r="U10" s="22">
        <v>6.0678282889588653</v>
      </c>
      <c r="V10" s="22">
        <v>6.1394912924073468</v>
      </c>
      <c r="W10" s="22">
        <v>6.2025752565909276</v>
      </c>
      <c r="X10" s="22">
        <v>6.2573903353276394</v>
      </c>
      <c r="Y10" s="22">
        <v>6.3041917229359363</v>
      </c>
      <c r="Z10" s="22">
        <v>6.3431839716035592</v>
      </c>
      <c r="AA10" s="22">
        <v>6.3745747267868369</v>
      </c>
      <c r="AB10" s="22">
        <v>6.398551874745503</v>
      </c>
      <c r="AC10" s="22">
        <v>6.4154221158129143</v>
      </c>
      <c r="AD10" s="22">
        <v>6.4255918525925892</v>
      </c>
      <c r="AE10" s="22">
        <v>6.429561374494436</v>
      </c>
      <c r="AF10" s="22">
        <v>6.4278367694465128</v>
      </c>
      <c r="AG10" s="22">
        <v>6.4209079095663784</v>
      </c>
      <c r="AH10" s="22">
        <v>6.4093014978479523</v>
      </c>
      <c r="AI10" s="22">
        <v>6.3935644651004768</v>
      </c>
      <c r="AJ10" s="22">
        <v>6.3743322067231825</v>
      </c>
      <c r="AK10" s="22">
        <v>6.3522839908436906</v>
      </c>
      <c r="AL10" s="22">
        <v>6.3280399327832191</v>
      </c>
      <c r="AM10" s="22">
        <v>6.3021406077401139</v>
      </c>
      <c r="AN10" s="22">
        <v>6.2749946275062793</v>
      </c>
      <c r="AO10" s="22">
        <v>6.2468921618295479</v>
      </c>
      <c r="AP10" s="22">
        <v>6.2180230282165434</v>
      </c>
      <c r="AQ10" s="22">
        <v>6.1884755303517949</v>
      </c>
      <c r="AR10" s="22">
        <v>6.1582848995607078</v>
      </c>
      <c r="AS10" s="22">
        <v>6.1273854191105466</v>
      </c>
      <c r="AT10" s="22">
        <v>6.0956420137362173</v>
      </c>
      <c r="AU10" s="22">
        <v>6.0629147794888514</v>
      </c>
      <c r="AV10" s="22">
        <v>6.0290152706259921</v>
      </c>
      <c r="AW10" s="22">
        <v>5.9937116866000659</v>
      </c>
      <c r="AX10" s="22">
        <v>5.9567668875637958</v>
      </c>
      <c r="AY10" s="22">
        <v>5.9179411456574886</v>
      </c>
      <c r="AZ10" s="22">
        <v>5.8769933586510632</v>
      </c>
      <c r="BA10" s="22">
        <v>5.833718584962833</v>
      </c>
      <c r="BB10" s="22">
        <v>5.7879514263640788</v>
      </c>
      <c r="BC10" s="22">
        <v>5.7395897323664427</v>
      </c>
      <c r="BD10" s="22">
        <v>5.6885854291168529</v>
      </c>
      <c r="BE10" s="22">
        <v>5.634912389304783</v>
      </c>
      <c r="BF10" s="22">
        <v>5.5786136193054938</v>
      </c>
      <c r="BG10" s="22">
        <v>5.5197420373165045</v>
      </c>
      <c r="BH10" s="22">
        <v>5.4583812536648946</v>
      </c>
      <c r="BI10" s="22">
        <v>5.3946310623779041</v>
      </c>
      <c r="BJ10" s="22">
        <v>5.3286035945917378</v>
      </c>
      <c r="BK10" s="22">
        <v>5.2603891011647823</v>
      </c>
      <c r="BL10" s="22">
        <v>5.1900747464807777</v>
      </c>
      <c r="BM10" s="22">
        <v>5.1177285746973382</v>
      </c>
      <c r="BN10" s="22">
        <v>5.043401392831476</v>
      </c>
      <c r="BO10" s="22">
        <v>4.9671433908342895</v>
      </c>
      <c r="BP10" s="22">
        <v>4.889004758656875</v>
      </c>
      <c r="BQ10" s="22">
        <v>4.809035043271793</v>
      </c>
      <c r="BR10" s="22">
        <v>4.7272712865001942</v>
      </c>
      <c r="BS10" s="22">
        <v>4.6437391756356794</v>
      </c>
      <c r="BT10" s="22">
        <v>4.5584639858830123</v>
      </c>
      <c r="BU10" s="22">
        <v>4.4714776282132673</v>
      </c>
      <c r="BV10" s="22">
        <v>4.3828366653449207</v>
      </c>
      <c r="BW10" s="22">
        <v>4.2926033833487693</v>
      </c>
      <c r="BX10" s="22">
        <v>4.200840068603191</v>
      </c>
      <c r="BY10" s="22">
        <v>4.1076165696308031</v>
      </c>
      <c r="BZ10" s="22">
        <v>4.0130299222728611</v>
      </c>
      <c r="CA10" s="22">
        <v>3.9171832699371927</v>
      </c>
      <c r="CB10" s="22">
        <v>3.820179938753415</v>
      </c>
      <c r="CC10" s="22">
        <v>3.7221268515985435</v>
      </c>
    </row>
    <row r="11" spans="1:81" x14ac:dyDescent="0.35">
      <c r="A11" s="18">
        <v>46150</v>
      </c>
      <c r="B11" s="15">
        <v>4.4859251373261202</v>
      </c>
      <c r="C11" s="22">
        <v>4.4153193991865143</v>
      </c>
      <c r="D11" s="22">
        <v>4.2808992196027029</v>
      </c>
      <c r="E11" s="22">
        <v>4.2591649065906703</v>
      </c>
      <c r="F11" s="22">
        <v>4.2993238103231866</v>
      </c>
      <c r="G11" s="22">
        <v>4.3760716674827318</v>
      </c>
      <c r="H11" s="22">
        <v>4.4764206225114123</v>
      </c>
      <c r="I11" s="22">
        <v>4.5944664403392101</v>
      </c>
      <c r="J11" s="22">
        <v>4.7252880148067922</v>
      </c>
      <c r="K11" s="22">
        <v>4.8638472152733145</v>
      </c>
      <c r="L11" s="22">
        <v>5.0054060291148437</v>
      </c>
      <c r="M11" s="22">
        <v>5.1460801898527286</v>
      </c>
      <c r="N11" s="22">
        <v>5.2828452467841762</v>
      </c>
      <c r="O11" s="22">
        <v>5.4135129032801848</v>
      </c>
      <c r="P11" s="22">
        <v>5.5366406365909864</v>
      </c>
      <c r="Q11" s="22">
        <v>5.6513802080545599</v>
      </c>
      <c r="R11" s="22">
        <v>5.7571849867960738</v>
      </c>
      <c r="S11" s="22">
        <v>5.8538523317537328</v>
      </c>
      <c r="T11" s="22">
        <v>5.9413495013514215</v>
      </c>
      <c r="U11" s="22">
        <v>6.0198236103617919</v>
      </c>
      <c r="V11" s="22">
        <v>6.0895923847022555</v>
      </c>
      <c r="W11" s="22">
        <v>6.1509897804379934</v>
      </c>
      <c r="X11" s="22">
        <v>6.2043190286676317</v>
      </c>
      <c r="Y11" s="22">
        <v>6.2498350025939748</v>
      </c>
      <c r="Z11" s="22">
        <v>6.2877424707038596</v>
      </c>
      <c r="AA11" s="22">
        <v>6.3182376860603444</v>
      </c>
      <c r="AB11" s="22">
        <v>6.3414936544061993</v>
      </c>
      <c r="AC11" s="22">
        <v>6.3578027521325211</v>
      </c>
      <c r="AD11" s="22">
        <v>6.3675671855792944</v>
      </c>
      <c r="AE11" s="22">
        <v>6.3712656724771239</v>
      </c>
      <c r="AF11" s="22">
        <v>6.3693852496106622</v>
      </c>
      <c r="AG11" s="22">
        <v>6.3624072049872193</v>
      </c>
      <c r="AH11" s="22">
        <v>6.3508508545175628</v>
      </c>
      <c r="AI11" s="22">
        <v>6.3352556337750636</v>
      </c>
      <c r="AJ11" s="22">
        <v>6.3162462215303554</v>
      </c>
      <c r="AK11" s="22">
        <v>6.294494714996385</v>
      </c>
      <c r="AL11" s="22">
        <v>6.2706211565834362</v>
      </c>
      <c r="AM11" s="22">
        <v>6.2451595814862726</v>
      </c>
      <c r="AN11" s="22">
        <v>6.2185127522024652</v>
      </c>
      <c r="AO11" s="22">
        <v>6.1909699942200236</v>
      </c>
      <c r="AP11" s="22">
        <v>6.1627182076331897</v>
      </c>
      <c r="AQ11" s="22">
        <v>6.1338438965163746</v>
      </c>
      <c r="AR11" s="22">
        <v>6.10437955939984</v>
      </c>
      <c r="AS11" s="22">
        <v>6.0742550752588382</v>
      </c>
      <c r="AT11" s="22">
        <v>6.0433321068578625</v>
      </c>
      <c r="AU11" s="22">
        <v>6.011467380740581</v>
      </c>
      <c r="AV11" s="22">
        <v>5.9784666330451657</v>
      </c>
      <c r="AW11" s="22">
        <v>5.9440920386270424</v>
      </c>
      <c r="AX11" s="22">
        <v>5.9081011686053513</v>
      </c>
      <c r="AY11" s="22">
        <v>5.8702491517475863</v>
      </c>
      <c r="AZ11" s="22">
        <v>5.8302894746405878</v>
      </c>
      <c r="BA11" s="22">
        <v>5.7880142990504622</v>
      </c>
      <c r="BB11" s="22">
        <v>5.7432566170785506</v>
      </c>
      <c r="BC11" s="22">
        <v>5.6959147077175736</v>
      </c>
      <c r="BD11" s="22">
        <v>5.6459404316109225</v>
      </c>
      <c r="BE11" s="22">
        <v>5.5933086416273134</v>
      </c>
      <c r="BF11" s="22">
        <v>5.5380640595995292</v>
      </c>
      <c r="BG11" s="22">
        <v>5.4802630043146285</v>
      </c>
      <c r="BH11" s="22">
        <v>5.4199926637685687</v>
      </c>
      <c r="BI11" s="22">
        <v>5.357355221822254</v>
      </c>
      <c r="BJ11" s="22">
        <v>5.2924634804664974</v>
      </c>
      <c r="BK11" s="22">
        <v>5.2254099522826998</v>
      </c>
      <c r="BL11" s="22">
        <v>5.1562842547780141</v>
      </c>
      <c r="BM11" s="22">
        <v>5.0851557840994461</v>
      </c>
      <c r="BN11" s="22">
        <v>5.0120764732908736</v>
      </c>
      <c r="BO11" s="22">
        <v>4.937097681443241</v>
      </c>
      <c r="BP11" s="22">
        <v>4.8602707676475045</v>
      </c>
      <c r="BQ11" s="22">
        <v>4.7816463464866903</v>
      </c>
      <c r="BR11" s="22">
        <v>4.7012615454760178</v>
      </c>
      <c r="BS11" s="22">
        <v>4.619141760979649</v>
      </c>
      <c r="BT11" s="22">
        <v>4.5353119986003136</v>
      </c>
      <c r="BU11" s="22">
        <v>4.4498040860383963</v>
      </c>
      <c r="BV11" s="22">
        <v>4.362673979679677</v>
      </c>
      <c r="BW11" s="22">
        <v>4.2739829677625973</v>
      </c>
      <c r="BX11" s="22">
        <v>4.1837923394709362</v>
      </c>
      <c r="BY11" s="22">
        <v>4.0921711849359221</v>
      </c>
      <c r="BZ11" s="22">
        <v>3.9992152985180924</v>
      </c>
      <c r="CA11" s="22">
        <v>3.9050261840040208</v>
      </c>
      <c r="CB11" s="22">
        <v>3.8097055271793021</v>
      </c>
      <c r="CC11" s="22">
        <v>3.7133583496119011</v>
      </c>
    </row>
    <row r="12" spans="1:81" x14ac:dyDescent="0.35">
      <c r="A12" s="18"/>
      <c r="B12" s="15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</row>
    <row r="13" spans="1:81" x14ac:dyDescent="0.35">
      <c r="A13" s="18"/>
      <c r="B13" s="15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</row>
    <row r="14" spans="1:81" x14ac:dyDescent="0.35">
      <c r="A14" s="18"/>
      <c r="B14" s="15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</row>
    <row r="15" spans="1:81" x14ac:dyDescent="0.35">
      <c r="A15" s="18"/>
      <c r="B15" s="15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</row>
    <row r="16" spans="1:81" x14ac:dyDescent="0.35">
      <c r="A16" s="18"/>
      <c r="B16" s="15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</row>
    <row r="17" spans="1:81" x14ac:dyDescent="0.35">
      <c r="A17" s="18"/>
      <c r="B17" s="15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</row>
    <row r="18" spans="1:81" x14ac:dyDescent="0.35">
      <c r="A18" s="18"/>
      <c r="B18" s="15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</row>
    <row r="19" spans="1:81" x14ac:dyDescent="0.35">
      <c r="A19" s="18"/>
      <c r="B19" s="15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</row>
    <row r="20" spans="1:81" x14ac:dyDescent="0.35">
      <c r="A20" s="18"/>
      <c r="B20" s="15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</row>
    <row r="21" spans="1:81" x14ac:dyDescent="0.35">
      <c r="A21" s="18"/>
      <c r="B21" s="15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</row>
    <row r="22" spans="1:81" x14ac:dyDescent="0.35">
      <c r="A22" s="18"/>
      <c r="B22" s="15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</row>
    <row r="23" spans="1:81" x14ac:dyDescent="0.35">
      <c r="A23" s="18"/>
      <c r="B23" s="15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</row>
    <row r="24" spans="1:81" x14ac:dyDescent="0.35">
      <c r="A24" s="18"/>
      <c r="B24" s="15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</row>
    <row r="25" spans="1:81" x14ac:dyDescent="0.35">
      <c r="A25" s="18"/>
      <c r="B25" s="15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</row>
    <row r="26" spans="1:81" x14ac:dyDescent="0.35">
      <c r="A26" s="18"/>
      <c r="B26" s="15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</row>
    <row r="27" spans="1:81" x14ac:dyDescent="0.35">
      <c r="A27" s="18"/>
      <c r="B27" s="1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</row>
    <row r="28" spans="1:81" x14ac:dyDescent="0.35">
      <c r="A28" s="18"/>
      <c r="B28" s="1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</row>
    <row r="29" spans="1:81" x14ac:dyDescent="0.3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</row>
    <row r="30" spans="1:81" x14ac:dyDescent="0.3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</row>
    <row r="31" spans="1:81" x14ac:dyDescent="0.3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</row>
    <row r="32" spans="1:81" x14ac:dyDescent="0.3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</row>
    <row r="33" spans="1:81" x14ac:dyDescent="0.35">
      <c r="A33" s="1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</row>
    <row r="34" spans="1:81" x14ac:dyDescent="0.35">
      <c r="A34" s="1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</row>
    <row r="35" spans="1:81" x14ac:dyDescent="0.35">
      <c r="A35" s="1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</row>
    <row r="36" spans="1:81" x14ac:dyDescent="0.35">
      <c r="A36" s="1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</row>
    <row r="37" spans="1:81" x14ac:dyDescent="0.35">
      <c r="A37" s="1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</row>
    <row r="38" spans="1:81" x14ac:dyDescent="0.35">
      <c r="A38" s="1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</row>
    <row r="39" spans="1:81" x14ac:dyDescent="0.35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</row>
    <row r="40" spans="1:81" x14ac:dyDescent="0.35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</row>
    <row r="41" spans="1:81" x14ac:dyDescent="0.35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</row>
    <row r="42" spans="1:81" x14ac:dyDescent="0.35">
      <c r="A42" s="1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</row>
    <row r="43" spans="1:81" x14ac:dyDescent="0.35">
      <c r="A43" s="1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</row>
    <row r="44" spans="1:81" x14ac:dyDescent="0.35">
      <c r="A44" s="1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</row>
    <row r="45" spans="1:81" x14ac:dyDescent="0.35">
      <c r="A45" s="1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</row>
    <row r="46" spans="1:81" x14ac:dyDescent="0.35">
      <c r="A46" s="1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</row>
    <row r="47" spans="1:81" x14ac:dyDescent="0.35">
      <c r="A47" s="1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</row>
    <row r="48" spans="1:81" x14ac:dyDescent="0.35">
      <c r="A48" s="1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</row>
    <row r="49" spans="1:81" x14ac:dyDescent="0.35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</row>
    <row r="50" spans="1:81" x14ac:dyDescent="0.35">
      <c r="A50" s="1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</row>
    <row r="51" spans="1:81" x14ac:dyDescent="0.3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</row>
    <row r="52" spans="1:81" x14ac:dyDescent="0.35">
      <c r="A52" s="1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</row>
    <row r="53" spans="1:81" x14ac:dyDescent="0.35">
      <c r="A53" s="1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</row>
    <row r="54" spans="1:81" x14ac:dyDescent="0.35">
      <c r="A54" s="1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</row>
    <row r="55" spans="1:81" x14ac:dyDescent="0.35">
      <c r="A55" s="1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</row>
    <row r="56" spans="1:81" x14ac:dyDescent="0.35">
      <c r="A56" s="1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</row>
    <row r="57" spans="1:81" x14ac:dyDescent="0.35">
      <c r="A57" s="1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</row>
    <row r="58" spans="1:81" x14ac:dyDescent="0.35">
      <c r="A58" s="1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</row>
    <row r="59" spans="1:81" x14ac:dyDescent="0.35">
      <c r="A59" s="1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</row>
    <row r="60" spans="1:81" x14ac:dyDescent="0.35">
      <c r="A60" s="1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</row>
    <row r="61" spans="1:81" x14ac:dyDescent="0.35">
      <c r="A61" s="1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</row>
    <row r="62" spans="1:81" x14ac:dyDescent="0.35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</row>
    <row r="63" spans="1:81" x14ac:dyDescent="0.35">
      <c r="A63" s="18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</row>
    <row r="64" spans="1:81" x14ac:dyDescent="0.35">
      <c r="A64" s="18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</row>
    <row r="65" spans="1:81" x14ac:dyDescent="0.35">
      <c r="A65" s="18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</row>
    <row r="66" spans="1:81" x14ac:dyDescent="0.35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</row>
    <row r="67" spans="1:81" x14ac:dyDescent="0.35"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  <c r="AC67" s="28"/>
      <c r="AD67" s="28"/>
      <c r="AE67" s="28"/>
      <c r="AF67" s="28"/>
      <c r="AG67" s="28"/>
      <c r="AH67" s="28"/>
      <c r="AI67" s="28"/>
      <c r="AJ67" s="28"/>
      <c r="AK67" s="28"/>
      <c r="AL67" s="28"/>
      <c r="AM67" s="28"/>
      <c r="AN67" s="28"/>
      <c r="AO67" s="28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  <c r="BN67" s="28"/>
      <c r="BO67" s="28"/>
      <c r="BP67" s="28"/>
      <c r="BQ67" s="28"/>
      <c r="BR67" s="28"/>
      <c r="BS67" s="28"/>
      <c r="BT67" s="28"/>
      <c r="BU67" s="28"/>
      <c r="BV67" s="28"/>
      <c r="BW67" s="28"/>
      <c r="BX67" s="28"/>
      <c r="BY67" s="28"/>
      <c r="BZ67" s="28"/>
      <c r="CA67" s="28"/>
      <c r="CB67" s="28"/>
      <c r="CC67" s="28"/>
    </row>
    <row r="68" spans="1:81" x14ac:dyDescent="0.35"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  <c r="AC68" s="28"/>
      <c r="AD68" s="28"/>
      <c r="AE68" s="28"/>
      <c r="AF68" s="28"/>
      <c r="AG68" s="28"/>
      <c r="AH68" s="28"/>
      <c r="AI68" s="28"/>
      <c r="AJ68" s="28"/>
      <c r="AK68" s="28"/>
      <c r="AL68" s="28"/>
      <c r="AM68" s="28"/>
      <c r="AN68" s="28"/>
      <c r="AO68" s="28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  <c r="BN68" s="28"/>
      <c r="BO68" s="28"/>
      <c r="BP68" s="28"/>
      <c r="BQ68" s="28"/>
      <c r="BR68" s="28"/>
      <c r="BS68" s="28"/>
      <c r="BT68" s="28"/>
      <c r="BU68" s="28"/>
      <c r="BV68" s="28"/>
      <c r="BW68" s="28"/>
      <c r="BX68" s="28"/>
      <c r="BY68" s="28"/>
      <c r="BZ68" s="28"/>
      <c r="CA68" s="28"/>
      <c r="CB68" s="28"/>
      <c r="CC68" s="28"/>
    </row>
    <row r="69" spans="1:81" x14ac:dyDescent="0.35"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  <c r="AC69" s="28"/>
      <c r="AD69" s="28"/>
      <c r="AE69" s="28"/>
      <c r="AF69" s="28"/>
      <c r="AG69" s="28"/>
      <c r="AH69" s="28"/>
      <c r="AI69" s="28"/>
      <c r="AJ69" s="28"/>
      <c r="AK69" s="28"/>
      <c r="AL69" s="28"/>
      <c r="AM69" s="28"/>
      <c r="AN69" s="28"/>
      <c r="AO69" s="28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  <c r="BN69" s="28"/>
      <c r="BO69" s="28"/>
      <c r="BP69" s="28"/>
      <c r="BQ69" s="28"/>
      <c r="BR69" s="28"/>
      <c r="BS69" s="28"/>
      <c r="BT69" s="28"/>
      <c r="BU69" s="28"/>
      <c r="BV69" s="28"/>
      <c r="BW69" s="28"/>
      <c r="BX69" s="28"/>
      <c r="BY69" s="28"/>
      <c r="BZ69" s="28"/>
      <c r="CA69" s="28"/>
      <c r="CB69" s="28"/>
      <c r="CC69" s="28"/>
    </row>
    <row r="70" spans="1:81" x14ac:dyDescent="0.35"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</row>
    <row r="71" spans="1:81" x14ac:dyDescent="0.35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  <c r="AC71" s="28"/>
      <c r="AD71" s="28"/>
      <c r="AE71" s="28"/>
      <c r="AF71" s="28"/>
      <c r="AG71" s="28"/>
      <c r="AH71" s="28"/>
      <c r="AI71" s="28"/>
      <c r="AJ71" s="28"/>
      <c r="AK71" s="28"/>
      <c r="AL71" s="28"/>
      <c r="AM71" s="28"/>
      <c r="AN71" s="28"/>
      <c r="AO71" s="28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  <c r="BN71" s="28"/>
      <c r="BO71" s="28"/>
      <c r="BP71" s="28"/>
      <c r="BQ71" s="28"/>
      <c r="BR71" s="28"/>
      <c r="BS71" s="28"/>
      <c r="BT71" s="28"/>
      <c r="BU71" s="28"/>
      <c r="BV71" s="28"/>
      <c r="BW71" s="28"/>
      <c r="BX71" s="28"/>
      <c r="BY71" s="28"/>
      <c r="BZ71" s="28"/>
      <c r="CA71" s="28"/>
      <c r="CB71" s="28"/>
      <c r="CC71" s="28"/>
    </row>
    <row r="72" spans="1:81" x14ac:dyDescent="0.35"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  <c r="AC72" s="28"/>
      <c r="AD72" s="28"/>
      <c r="AE72" s="28"/>
      <c r="AF72" s="28"/>
      <c r="AG72" s="28"/>
      <c r="AH72" s="28"/>
      <c r="AI72" s="28"/>
      <c r="AJ72" s="28"/>
      <c r="AK72" s="28"/>
      <c r="AL72" s="28"/>
      <c r="AM72" s="28"/>
      <c r="AN72" s="28"/>
      <c r="AO72" s="28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  <c r="BN72" s="28"/>
      <c r="BO72" s="28"/>
      <c r="BP72" s="28"/>
      <c r="BQ72" s="28"/>
      <c r="BR72" s="28"/>
      <c r="BS72" s="28"/>
      <c r="BT72" s="28"/>
      <c r="BU72" s="28"/>
      <c r="BV72" s="28"/>
      <c r="BW72" s="28"/>
      <c r="BX72" s="28"/>
      <c r="BY72" s="28"/>
      <c r="BZ72" s="28"/>
      <c r="CA72" s="28"/>
      <c r="CB72" s="28"/>
      <c r="CC72" s="28"/>
    </row>
    <row r="73" spans="1:81" x14ac:dyDescent="0.35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  <c r="BN73" s="28"/>
      <c r="BO73" s="28"/>
      <c r="BP73" s="28"/>
      <c r="BQ73" s="28"/>
      <c r="BR73" s="28"/>
      <c r="BS73" s="28"/>
      <c r="BT73" s="28"/>
      <c r="BU73" s="28"/>
      <c r="BV73" s="28"/>
      <c r="BW73" s="28"/>
      <c r="BX73" s="28"/>
      <c r="BY73" s="28"/>
      <c r="BZ73" s="28"/>
      <c r="CA73" s="28"/>
      <c r="CB73" s="28"/>
      <c r="CC73" s="28"/>
    </row>
    <row r="74" spans="1:81" x14ac:dyDescent="0.35"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  <c r="BN74" s="28"/>
      <c r="BO74" s="28"/>
      <c r="BP74" s="28"/>
      <c r="BQ74" s="28"/>
      <c r="BR74" s="28"/>
      <c r="BS74" s="28"/>
      <c r="BT74" s="28"/>
      <c r="BU74" s="28"/>
      <c r="BV74" s="28"/>
      <c r="BW74" s="28"/>
      <c r="BX74" s="28"/>
      <c r="BY74" s="28"/>
      <c r="BZ74" s="28"/>
      <c r="CA74" s="28"/>
      <c r="CB74" s="28"/>
      <c r="CC74" s="28"/>
    </row>
    <row r="75" spans="1:81" x14ac:dyDescent="0.35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  <c r="AG75" s="28"/>
      <c r="AH75" s="28"/>
      <c r="AI75" s="28"/>
      <c r="AJ75" s="28"/>
      <c r="AK75" s="28"/>
      <c r="AL75" s="28"/>
      <c r="AM75" s="28"/>
      <c r="AN75" s="28"/>
      <c r="AO75" s="28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  <c r="BN75" s="28"/>
      <c r="BO75" s="28"/>
      <c r="BP75" s="28"/>
      <c r="BQ75" s="28"/>
      <c r="BR75" s="28"/>
      <c r="BS75" s="28"/>
      <c r="BT75" s="28"/>
      <c r="BU75" s="28"/>
      <c r="BV75" s="28"/>
      <c r="BW75" s="28"/>
      <c r="BX75" s="28"/>
      <c r="BY75" s="28"/>
      <c r="BZ75" s="28"/>
      <c r="CA75" s="28"/>
      <c r="CB75" s="28"/>
      <c r="CC75" s="28"/>
    </row>
    <row r="76" spans="1:81" x14ac:dyDescent="0.35"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  <c r="AG76" s="28"/>
      <c r="AH76" s="28"/>
      <c r="AI76" s="28"/>
      <c r="AJ76" s="28"/>
      <c r="AK76" s="28"/>
      <c r="AL76" s="28"/>
      <c r="AM76" s="28"/>
      <c r="AN76" s="28"/>
      <c r="AO76" s="28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  <c r="BN76" s="28"/>
      <c r="BO76" s="28"/>
      <c r="BP76" s="28"/>
      <c r="BQ76" s="28"/>
      <c r="BR76" s="28"/>
      <c r="BS76" s="28"/>
      <c r="BT76" s="28"/>
      <c r="BU76" s="28"/>
      <c r="BV76" s="28"/>
      <c r="BW76" s="28"/>
      <c r="BX76" s="28"/>
      <c r="BY76" s="28"/>
      <c r="BZ76" s="28"/>
      <c r="CA76" s="28"/>
      <c r="CB76" s="28"/>
      <c r="CC76" s="28"/>
    </row>
    <row r="77" spans="1:81" x14ac:dyDescent="0.35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  <c r="AC77" s="28"/>
      <c r="AD77" s="28"/>
      <c r="AE77" s="28"/>
      <c r="AF77" s="28"/>
      <c r="AG77" s="28"/>
      <c r="AH77" s="28"/>
      <c r="AI77" s="28"/>
      <c r="AJ77" s="28"/>
      <c r="AK77" s="28"/>
      <c r="AL77" s="28"/>
      <c r="AM77" s="28"/>
      <c r="AN77" s="28"/>
      <c r="AO77" s="28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  <c r="BN77" s="28"/>
      <c r="BO77" s="28"/>
      <c r="BP77" s="28"/>
      <c r="BQ77" s="28"/>
      <c r="BR77" s="28"/>
      <c r="BS77" s="28"/>
      <c r="BT77" s="28"/>
      <c r="BU77" s="28"/>
      <c r="BV77" s="28"/>
      <c r="BW77" s="28"/>
      <c r="BX77" s="28"/>
      <c r="BY77" s="28"/>
      <c r="BZ77" s="28"/>
      <c r="CA77" s="28"/>
      <c r="CB77" s="28"/>
      <c r="CC77" s="28"/>
    </row>
    <row r="78" spans="1:81" x14ac:dyDescent="0.35"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</row>
    <row r="79" spans="1:81" x14ac:dyDescent="0.35"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  <c r="AC79" s="28"/>
      <c r="AD79" s="28"/>
      <c r="AE79" s="28"/>
      <c r="AF79" s="28"/>
      <c r="AG79" s="28"/>
      <c r="AH79" s="28"/>
      <c r="AI79" s="28"/>
      <c r="AJ79" s="28"/>
      <c r="AK79" s="28"/>
      <c r="AL79" s="28"/>
      <c r="AM79" s="28"/>
      <c r="AN79" s="28"/>
      <c r="AO79" s="28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  <c r="BN79" s="28"/>
      <c r="BO79" s="28"/>
      <c r="BP79" s="28"/>
      <c r="BQ79" s="28"/>
      <c r="BR79" s="28"/>
      <c r="BS79" s="28"/>
      <c r="BT79" s="28"/>
      <c r="BU79" s="28"/>
      <c r="BV79" s="28"/>
      <c r="BW79" s="28"/>
      <c r="BX79" s="28"/>
      <c r="BY79" s="28"/>
      <c r="BZ79" s="28"/>
      <c r="CA79" s="28"/>
      <c r="CB79" s="28"/>
      <c r="CC79" s="28"/>
    </row>
    <row r="80" spans="1:81" x14ac:dyDescent="0.35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  <c r="AJ80" s="28"/>
      <c r="AK80" s="28"/>
      <c r="AL80" s="28"/>
      <c r="AM80" s="28"/>
      <c r="AN80" s="28"/>
      <c r="AO80" s="28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  <c r="BN80" s="28"/>
      <c r="BO80" s="28"/>
      <c r="BP80" s="28"/>
      <c r="BQ80" s="28"/>
      <c r="BR80" s="28"/>
      <c r="BS80" s="28"/>
      <c r="BT80" s="28"/>
      <c r="BU80" s="28"/>
      <c r="BV80" s="28"/>
      <c r="BW80" s="28"/>
      <c r="BX80" s="28"/>
      <c r="BY80" s="28"/>
      <c r="BZ80" s="28"/>
      <c r="CA80" s="28"/>
      <c r="CB80" s="28"/>
      <c r="CC80" s="28"/>
    </row>
    <row r="81" spans="2:81" x14ac:dyDescent="0.35"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  <c r="AJ81" s="28"/>
      <c r="AK81" s="28"/>
      <c r="AL81" s="28"/>
      <c r="AM81" s="28"/>
      <c r="AN81" s="28"/>
      <c r="AO81" s="28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  <c r="BN81" s="28"/>
      <c r="BO81" s="28"/>
      <c r="BP81" s="28"/>
      <c r="BQ81" s="28"/>
      <c r="BR81" s="28"/>
      <c r="BS81" s="28"/>
      <c r="BT81" s="28"/>
      <c r="BU81" s="28"/>
      <c r="BV81" s="28"/>
      <c r="BW81" s="28"/>
      <c r="BX81" s="28"/>
      <c r="BY81" s="28"/>
      <c r="BZ81" s="28"/>
      <c r="CA81" s="28"/>
      <c r="CB81" s="28"/>
      <c r="CC81" s="28"/>
    </row>
    <row r="82" spans="2:81" x14ac:dyDescent="0.35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  <c r="AJ82" s="28"/>
      <c r="AK82" s="28"/>
      <c r="AL82" s="28"/>
      <c r="AM82" s="28"/>
      <c r="AN82" s="28"/>
      <c r="AO82" s="28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  <c r="BN82" s="28"/>
      <c r="BO82" s="28"/>
      <c r="BP82" s="28"/>
      <c r="BQ82" s="28"/>
      <c r="BR82" s="28"/>
      <c r="BS82" s="28"/>
      <c r="BT82" s="28"/>
      <c r="BU82" s="28"/>
      <c r="BV82" s="28"/>
      <c r="BW82" s="28"/>
      <c r="BX82" s="28"/>
      <c r="BY82" s="28"/>
      <c r="BZ82" s="28"/>
      <c r="CA82" s="28"/>
      <c r="CB82" s="28"/>
      <c r="CC82" s="2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I629"/>
  <sheetViews>
    <sheetView showGridLines="0" workbookViewId="0">
      <pane xSplit="1" ySplit="4" topLeftCell="V5" activePane="bottomRight" state="frozen"/>
      <selection pane="topRight" activeCell="B1" sqref="B1"/>
      <selection pane="bottomLeft" activeCell="A5" sqref="A5"/>
      <selection pane="bottomRight"/>
    </sheetView>
  </sheetViews>
  <sheetFormatPr defaultRowHeight="14.5" x14ac:dyDescent="0.35"/>
  <cols>
    <col min="1" max="1" width="9.453125" bestFit="1" customWidth="1"/>
  </cols>
  <sheetData>
    <row r="1" spans="1:61" ht="17.5" x14ac:dyDescent="0.35">
      <c r="B1" s="19" t="s">
        <v>20</v>
      </c>
      <c r="X1" s="19"/>
    </row>
    <row r="2" spans="1:61" x14ac:dyDescent="0.35">
      <c r="A2" s="23" t="s">
        <v>21</v>
      </c>
    </row>
    <row r="3" spans="1:61" x14ac:dyDescent="0.35">
      <c r="A3" s="23" t="s">
        <v>18</v>
      </c>
      <c r="B3" s="12">
        <f>B4/0.08333333</f>
        <v>1</v>
      </c>
      <c r="C3" s="12">
        <f>C4/0.08333333</f>
        <v>2</v>
      </c>
      <c r="D3" s="12">
        <f t="shared" ref="D3:BI3" si="0">D4/0.08333333</f>
        <v>3</v>
      </c>
      <c r="E3" s="12">
        <f t="shared" si="0"/>
        <v>4</v>
      </c>
      <c r="F3" s="12">
        <f t="shared" si="0"/>
        <v>5</v>
      </c>
      <c r="G3" s="12">
        <f t="shared" si="0"/>
        <v>6</v>
      </c>
      <c r="H3" s="12">
        <f t="shared" si="0"/>
        <v>7</v>
      </c>
      <c r="I3" s="12">
        <f t="shared" si="0"/>
        <v>8</v>
      </c>
      <c r="J3" s="12">
        <f t="shared" si="0"/>
        <v>9</v>
      </c>
      <c r="K3" s="12">
        <f t="shared" si="0"/>
        <v>10</v>
      </c>
      <c r="L3" s="12">
        <f t="shared" si="0"/>
        <v>11</v>
      </c>
      <c r="M3" s="12">
        <f t="shared" si="0"/>
        <v>12</v>
      </c>
      <c r="N3" s="12">
        <f t="shared" si="0"/>
        <v>13</v>
      </c>
      <c r="O3" s="12">
        <f t="shared" si="0"/>
        <v>14</v>
      </c>
      <c r="P3" s="12">
        <f t="shared" si="0"/>
        <v>15.000000000000002</v>
      </c>
      <c r="Q3" s="12">
        <f t="shared" si="0"/>
        <v>16.000000000000004</v>
      </c>
      <c r="R3" s="12">
        <f t="shared" si="0"/>
        <v>17.000000000000004</v>
      </c>
      <c r="S3" s="12">
        <f t="shared" si="0"/>
        <v>18.000000000000004</v>
      </c>
      <c r="T3" s="12">
        <f t="shared" si="0"/>
        <v>19.000000000000007</v>
      </c>
      <c r="U3" s="12">
        <f t="shared" si="0"/>
        <v>20.000000000000007</v>
      </c>
      <c r="V3" s="12">
        <f t="shared" si="0"/>
        <v>21.000000000000007</v>
      </c>
      <c r="W3" s="12">
        <f t="shared" si="0"/>
        <v>22.000000000000011</v>
      </c>
      <c r="X3" s="12">
        <f t="shared" si="0"/>
        <v>23.000000000000011</v>
      </c>
      <c r="Y3" s="12">
        <f t="shared" si="0"/>
        <v>24.000000000000011</v>
      </c>
      <c r="Z3" s="12">
        <f t="shared" si="0"/>
        <v>25.000000000000011</v>
      </c>
      <c r="AA3" s="12">
        <f t="shared" si="0"/>
        <v>26.000000000000011</v>
      </c>
      <c r="AB3" s="12">
        <f t="shared" si="0"/>
        <v>27.000000000000007</v>
      </c>
      <c r="AC3" s="12">
        <f t="shared" si="0"/>
        <v>28.000000000000007</v>
      </c>
      <c r="AD3" s="12">
        <f t="shared" si="0"/>
        <v>29.000000000000004</v>
      </c>
      <c r="AE3" s="12">
        <f t="shared" si="0"/>
        <v>30.000000000000004</v>
      </c>
      <c r="AF3" s="12">
        <f t="shared" si="0"/>
        <v>31</v>
      </c>
      <c r="AG3" s="12">
        <f t="shared" si="0"/>
        <v>32</v>
      </c>
      <c r="AH3" s="12">
        <f t="shared" si="0"/>
        <v>33</v>
      </c>
      <c r="AI3" s="12">
        <f t="shared" si="0"/>
        <v>34</v>
      </c>
      <c r="AJ3" s="12">
        <f t="shared" si="0"/>
        <v>34.999999999999993</v>
      </c>
      <c r="AK3" s="12">
        <f t="shared" si="0"/>
        <v>35.999999999999993</v>
      </c>
      <c r="AL3" s="12">
        <f t="shared" si="0"/>
        <v>36.999999999999993</v>
      </c>
      <c r="AM3" s="12">
        <f t="shared" si="0"/>
        <v>37.999999999999993</v>
      </c>
      <c r="AN3" s="12">
        <f t="shared" si="0"/>
        <v>38.999999999999993</v>
      </c>
      <c r="AO3" s="12">
        <f t="shared" si="0"/>
        <v>39.999999999999986</v>
      </c>
      <c r="AP3" s="12">
        <f t="shared" si="0"/>
        <v>40.999999999999986</v>
      </c>
      <c r="AQ3" s="12">
        <f t="shared" si="0"/>
        <v>41.999999999999986</v>
      </c>
      <c r="AR3" s="12">
        <f t="shared" si="0"/>
        <v>42.999999999999986</v>
      </c>
      <c r="AS3" s="12">
        <f t="shared" si="0"/>
        <v>43.999999999999979</v>
      </c>
      <c r="AT3" s="12">
        <f t="shared" si="0"/>
        <v>44.999999999999979</v>
      </c>
      <c r="AU3" s="12">
        <f t="shared" si="0"/>
        <v>45.999999999999979</v>
      </c>
      <c r="AV3" s="12">
        <f t="shared" si="0"/>
        <v>46.999999999999979</v>
      </c>
      <c r="AW3" s="12">
        <f t="shared" si="0"/>
        <v>47.999999999999979</v>
      </c>
      <c r="AX3" s="12">
        <f t="shared" si="0"/>
        <v>48.999999999999972</v>
      </c>
      <c r="AY3" s="12">
        <f t="shared" si="0"/>
        <v>49.999999999999979</v>
      </c>
      <c r="AZ3" s="12">
        <f t="shared" si="0"/>
        <v>50.999999999999979</v>
      </c>
      <c r="BA3" s="12">
        <f t="shared" si="0"/>
        <v>51.999999999999986</v>
      </c>
      <c r="BB3" s="12">
        <f t="shared" si="0"/>
        <v>52.999999999999993</v>
      </c>
      <c r="BC3" s="12">
        <f t="shared" si="0"/>
        <v>53.999999999999993</v>
      </c>
      <c r="BD3" s="12">
        <f t="shared" si="0"/>
        <v>55</v>
      </c>
      <c r="BE3" s="12">
        <f t="shared" si="0"/>
        <v>56</v>
      </c>
      <c r="BF3" s="12">
        <f t="shared" si="0"/>
        <v>57.000000000000007</v>
      </c>
      <c r="BG3" s="12">
        <f t="shared" si="0"/>
        <v>58.000000000000007</v>
      </c>
      <c r="BH3" s="12">
        <f t="shared" si="0"/>
        <v>59.000000000000014</v>
      </c>
      <c r="BI3" s="12">
        <f t="shared" si="0"/>
        <v>60.000000000000014</v>
      </c>
    </row>
    <row r="4" spans="1:61" x14ac:dyDescent="0.35">
      <c r="A4" s="23" t="s">
        <v>16</v>
      </c>
      <c r="B4" s="24">
        <v>8.3333329999999997E-2</v>
      </c>
      <c r="C4" s="24">
        <f>B4+0.08333333</f>
        <v>0.16666665999999999</v>
      </c>
      <c r="D4" s="24">
        <f t="shared" ref="D4:BI4" si="1">C4+0.08333333</f>
        <v>0.24999999000000001</v>
      </c>
      <c r="E4" s="24">
        <f t="shared" si="1"/>
        <v>0.33333331999999999</v>
      </c>
      <c r="F4" s="24">
        <f t="shared" si="1"/>
        <v>0.41666664999999997</v>
      </c>
      <c r="G4" s="24">
        <f t="shared" si="1"/>
        <v>0.49999997999999996</v>
      </c>
      <c r="H4" s="24">
        <f t="shared" si="1"/>
        <v>0.58333330999999999</v>
      </c>
      <c r="I4" s="24">
        <f t="shared" si="1"/>
        <v>0.66666663999999998</v>
      </c>
      <c r="J4" s="24">
        <f t="shared" si="1"/>
        <v>0.74999996999999996</v>
      </c>
      <c r="K4" s="24">
        <f t="shared" si="1"/>
        <v>0.83333329999999994</v>
      </c>
      <c r="L4" s="24">
        <f t="shared" si="1"/>
        <v>0.91666662999999993</v>
      </c>
      <c r="M4" s="24">
        <f t="shared" si="1"/>
        <v>0.99999995999999991</v>
      </c>
      <c r="N4" s="24">
        <f t="shared" si="1"/>
        <v>1.0833332899999999</v>
      </c>
      <c r="O4" s="24">
        <f t="shared" si="1"/>
        <v>1.16666662</v>
      </c>
      <c r="P4" s="24">
        <f t="shared" si="1"/>
        <v>1.2499999500000001</v>
      </c>
      <c r="Q4" s="24">
        <f t="shared" si="1"/>
        <v>1.3333332800000002</v>
      </c>
      <c r="R4" s="24">
        <f t="shared" si="1"/>
        <v>1.4166666100000003</v>
      </c>
      <c r="S4" s="24">
        <f t="shared" si="1"/>
        <v>1.4999999400000004</v>
      </c>
      <c r="T4" s="24">
        <f t="shared" si="1"/>
        <v>1.5833332700000005</v>
      </c>
      <c r="U4" s="24">
        <f t="shared" si="1"/>
        <v>1.6666666000000006</v>
      </c>
      <c r="V4" s="24">
        <f t="shared" si="1"/>
        <v>1.7499999300000006</v>
      </c>
      <c r="W4" s="24">
        <f t="shared" si="1"/>
        <v>1.8333332600000007</v>
      </c>
      <c r="X4" s="24">
        <f t="shared" si="1"/>
        <v>1.9166665900000008</v>
      </c>
      <c r="Y4" s="24">
        <f t="shared" si="1"/>
        <v>1.9999999200000009</v>
      </c>
      <c r="Z4" s="24">
        <f t="shared" si="1"/>
        <v>2.0833332500000008</v>
      </c>
      <c r="AA4" s="24">
        <f t="shared" si="1"/>
        <v>2.1666665800000007</v>
      </c>
      <c r="AB4" s="24">
        <f t="shared" si="1"/>
        <v>2.2499999100000005</v>
      </c>
      <c r="AC4" s="24">
        <f t="shared" si="1"/>
        <v>2.3333332400000004</v>
      </c>
      <c r="AD4" s="24">
        <f t="shared" si="1"/>
        <v>2.4166665700000003</v>
      </c>
      <c r="AE4" s="24">
        <f t="shared" si="1"/>
        <v>2.4999999000000002</v>
      </c>
      <c r="AF4" s="24">
        <f t="shared" si="1"/>
        <v>2.58333323</v>
      </c>
      <c r="AG4" s="24">
        <f t="shared" si="1"/>
        <v>2.6666665599999999</v>
      </c>
      <c r="AH4" s="24">
        <f t="shared" si="1"/>
        <v>2.7499998899999998</v>
      </c>
      <c r="AI4" s="24">
        <f t="shared" si="1"/>
        <v>2.8333332199999997</v>
      </c>
      <c r="AJ4" s="24">
        <f t="shared" si="1"/>
        <v>2.9166665499999995</v>
      </c>
      <c r="AK4" s="24">
        <f t="shared" si="1"/>
        <v>2.9999998799999994</v>
      </c>
      <c r="AL4" s="24">
        <f t="shared" si="1"/>
        <v>3.0833332099999993</v>
      </c>
      <c r="AM4" s="24">
        <f t="shared" si="1"/>
        <v>3.1666665399999991</v>
      </c>
      <c r="AN4" s="24">
        <f t="shared" si="1"/>
        <v>3.249999869999999</v>
      </c>
      <c r="AO4" s="24">
        <f t="shared" si="1"/>
        <v>3.3333331999999989</v>
      </c>
      <c r="AP4" s="24">
        <f t="shared" si="1"/>
        <v>3.4166665299999988</v>
      </c>
      <c r="AQ4" s="24">
        <f t="shared" si="1"/>
        <v>3.4999998599999986</v>
      </c>
      <c r="AR4" s="24">
        <f t="shared" si="1"/>
        <v>3.5833331899999985</v>
      </c>
      <c r="AS4" s="24">
        <f t="shared" si="1"/>
        <v>3.6666665199999984</v>
      </c>
      <c r="AT4" s="24">
        <f t="shared" si="1"/>
        <v>3.7499998499999982</v>
      </c>
      <c r="AU4" s="24">
        <f t="shared" si="1"/>
        <v>3.8333331799999981</v>
      </c>
      <c r="AV4" s="24">
        <f t="shared" si="1"/>
        <v>3.916666509999998</v>
      </c>
      <c r="AW4" s="24">
        <f t="shared" si="1"/>
        <v>3.9999998399999979</v>
      </c>
      <c r="AX4" s="24">
        <f t="shared" si="1"/>
        <v>4.0833331699999977</v>
      </c>
      <c r="AY4" s="24">
        <f t="shared" si="1"/>
        <v>4.1666664999999981</v>
      </c>
      <c r="AZ4" s="24">
        <f t="shared" si="1"/>
        <v>4.2499998299999984</v>
      </c>
      <c r="BA4" s="24">
        <f t="shared" si="1"/>
        <v>4.3333331599999987</v>
      </c>
      <c r="BB4" s="24">
        <f t="shared" si="1"/>
        <v>4.416666489999999</v>
      </c>
      <c r="BC4" s="24">
        <f t="shared" si="1"/>
        <v>4.4999998199999993</v>
      </c>
      <c r="BD4" s="24">
        <f t="shared" si="1"/>
        <v>4.5833331499999996</v>
      </c>
      <c r="BE4" s="24">
        <f t="shared" si="1"/>
        <v>4.66666648</v>
      </c>
      <c r="BF4" s="24">
        <f t="shared" si="1"/>
        <v>4.7499998100000003</v>
      </c>
      <c r="BG4" s="24">
        <f t="shared" si="1"/>
        <v>4.8333331400000006</v>
      </c>
      <c r="BH4" s="24">
        <f t="shared" si="1"/>
        <v>4.9166664700000009</v>
      </c>
      <c r="BI4" s="24">
        <f t="shared" si="1"/>
        <v>4.9999998000000012</v>
      </c>
    </row>
    <row r="5" spans="1:61" x14ac:dyDescent="0.35">
      <c r="A5" s="14" t="e">
        <v>#VALUE!</v>
      </c>
      <c r="B5" s="15"/>
    </row>
    <row r="6" spans="1:61" x14ac:dyDescent="0.35">
      <c r="A6" s="18">
        <v>46143</v>
      </c>
      <c r="B6" s="15" t="s">
        <v>23</v>
      </c>
      <c r="C6" s="22"/>
      <c r="D6" s="22"/>
      <c r="E6" s="22"/>
      <c r="F6" s="22"/>
      <c r="G6" s="22">
        <v>3.9287559270745196</v>
      </c>
      <c r="H6" s="22">
        <v>4.0194115990225381</v>
      </c>
      <c r="I6" s="22">
        <v>4.0915344444095361</v>
      </c>
      <c r="J6" s="22">
        <v>4.1472471282320083</v>
      </c>
      <c r="K6" s="22">
        <v>4.1893109301814713</v>
      </c>
      <c r="L6" s="22">
        <v>4.2206381475362171</v>
      </c>
      <c r="M6" s="22">
        <v>4.2437709202783029</v>
      </c>
      <c r="N6" s="22">
        <v>4.2606258485104114</v>
      </c>
      <c r="O6" s="22">
        <v>4.2726743034680634</v>
      </c>
      <c r="P6" s="22">
        <v>4.2810906525235417</v>
      </c>
      <c r="Q6" s="22">
        <v>4.2868257462897281</v>
      </c>
      <c r="R6" s="22">
        <v>4.290608654141268</v>
      </c>
      <c r="S6" s="22">
        <v>4.2929851177198426</v>
      </c>
      <c r="T6" s="22">
        <v>4.2943653891192515</v>
      </c>
      <c r="U6" s="22">
        <v>4.2950582937500856</v>
      </c>
      <c r="V6" s="22">
        <v>4.2952980873846469</v>
      </c>
      <c r="W6" s="22">
        <v>4.2952645715628979</v>
      </c>
      <c r="X6" s="22">
        <v>4.2950949887563077</v>
      </c>
      <c r="Y6" s="22">
        <v>4.2948945466275701</v>
      </c>
      <c r="Z6" s="22">
        <v>4.2947451777503058</v>
      </c>
      <c r="AA6" s="22">
        <v>4.2947103177284189</v>
      </c>
      <c r="AB6" s="22">
        <v>4.2948388077054735</v>
      </c>
      <c r="AC6" s="22">
        <v>4.2951680954249563</v>
      </c>
      <c r="AD6" s="22">
        <v>4.2957262724016463</v>
      </c>
      <c r="AE6" s="22">
        <v>4.2965336347022713</v>
      </c>
      <c r="AF6" s="22">
        <v>4.2976042460308506</v>
      </c>
      <c r="AG6" s="22">
        <v>4.2989481667497742</v>
      </c>
      <c r="AH6" s="22">
        <v>4.3005719918848939</v>
      </c>
      <c r="AI6" s="22">
        <v>4.3024786140591509</v>
      </c>
      <c r="AJ6" s="22">
        <v>4.3046684927672878</v>
      </c>
      <c r="AK6" s="22">
        <v>4.307140721750029</v>
      </c>
      <c r="AL6" s="22">
        <v>4.3098932686036617</v>
      </c>
      <c r="AM6" s="22">
        <v>4.3129232080271969</v>
      </c>
      <c r="AN6" s="22">
        <v>4.3162271474339882</v>
      </c>
      <c r="AO6" s="22">
        <v>4.3198013754954561</v>
      </c>
      <c r="AP6" s="22">
        <v>4.3236417686373638</v>
      </c>
      <c r="AQ6" s="22">
        <v>4.3277437817812352</v>
      </c>
      <c r="AR6" s="22">
        <v>4.3321025243225275</v>
      </c>
      <c r="AS6" s="22">
        <v>4.336712911496269</v>
      </c>
      <c r="AT6" s="22">
        <v>4.3415697337505614</v>
      </c>
      <c r="AU6" s="22">
        <v>4.3466676714437691</v>
      </c>
      <c r="AV6" s="22">
        <v>4.3520013057037854</v>
      </c>
      <c r="AW6" s="22">
        <v>4.3575651166211129</v>
      </c>
      <c r="AX6" s="22">
        <v>4.3633534789828987</v>
      </c>
      <c r="AY6" s="22">
        <v>4.3693606711118687</v>
      </c>
      <c r="AZ6" s="22">
        <v>4.3755808843235346</v>
      </c>
      <c r="BA6" s="22">
        <v>4.3820082312922715</v>
      </c>
      <c r="BB6" s="22">
        <v>4.3886367534702968</v>
      </c>
      <c r="BC6" s="22">
        <v>4.3954604276747418</v>
      </c>
      <c r="BD6" s="22">
        <v>4.4024731706900608</v>
      </c>
      <c r="BE6" s="22">
        <v>4.4096688399249828</v>
      </c>
      <c r="BF6" s="22">
        <v>4.417041243518411</v>
      </c>
      <c r="BG6" s="22">
        <v>4.4245841552732266</v>
      </c>
      <c r="BH6" s="22">
        <v>4.4322913215240645</v>
      </c>
      <c r="BI6" s="22">
        <v>4.4401564961913724</v>
      </c>
    </row>
    <row r="7" spans="1:61" x14ac:dyDescent="0.35">
      <c r="A7" s="18">
        <v>46146</v>
      </c>
      <c r="B7" s="15" t="s">
        <v>23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</row>
    <row r="8" spans="1:61" x14ac:dyDescent="0.35">
      <c r="A8" s="18">
        <v>46147</v>
      </c>
      <c r="B8" s="15" t="s">
        <v>23</v>
      </c>
      <c r="C8" s="22"/>
      <c r="D8" s="22"/>
      <c r="E8" s="22"/>
      <c r="F8" s="22"/>
      <c r="G8" s="22">
        <v>4.002639308235671</v>
      </c>
      <c r="H8" s="22">
        <v>4.0927047157208261</v>
      </c>
      <c r="I8" s="22">
        <v>4.1648252866196156</v>
      </c>
      <c r="J8" s="22">
        <v>4.2210654995984367</v>
      </c>
      <c r="K8" s="22">
        <v>4.264094873774261</v>
      </c>
      <c r="L8" s="22">
        <v>4.2967087667844259</v>
      </c>
      <c r="M8" s="22">
        <v>4.3213278744782349</v>
      </c>
      <c r="N8" s="22">
        <v>4.3397780082656228</v>
      </c>
      <c r="O8" s="22">
        <v>4.3534665080534243</v>
      </c>
      <c r="P8" s="22">
        <v>4.3635214956280359</v>
      </c>
      <c r="Q8" s="22">
        <v>4.3708588128042036</v>
      </c>
      <c r="R8" s="22">
        <v>4.3761821821576445</v>
      </c>
      <c r="S8" s="22">
        <v>4.3800212310524094</v>
      </c>
      <c r="T8" s="22">
        <v>4.3827769965100858</v>
      </c>
      <c r="U8" s="22">
        <v>4.3847542528002501</v>
      </c>
      <c r="V8" s="22">
        <v>4.3861867430788157</v>
      </c>
      <c r="W8" s="22">
        <v>4.3872558710781906</v>
      </c>
      <c r="X8" s="22">
        <v>4.3881023603242815</v>
      </c>
      <c r="Y8" s="22">
        <v>4.3888361147603563</v>
      </c>
      <c r="Z8" s="22">
        <v>4.389543980041112</v>
      </c>
      <c r="AA8" s="22">
        <v>4.3902943704065569</v>
      </c>
      <c r="AB8" s="22">
        <v>4.3911410396358317</v>
      </c>
      <c r="AC8" s="22">
        <v>4.3921261141512762</v>
      </c>
      <c r="AD8" s="22">
        <v>4.3932821441285617</v>
      </c>
      <c r="AE8" s="22">
        <v>4.3946337011500871</v>
      </c>
      <c r="AF8" s="22">
        <v>4.3961989323938209</v>
      </c>
      <c r="AG8" s="22">
        <v>4.397991571728781</v>
      </c>
      <c r="AH8" s="22">
        <v>4.4000214919849672</v>
      </c>
      <c r="AI8" s="22">
        <v>4.4022946974215289</v>
      </c>
      <c r="AJ8" s="22">
        <v>4.4048145467849453</v>
      </c>
      <c r="AK8" s="22">
        <v>4.4075827193940178</v>
      </c>
      <c r="AL8" s="22">
        <v>4.4105994835899773</v>
      </c>
      <c r="AM8" s="22">
        <v>4.4138640014705208</v>
      </c>
      <c r="AN8" s="22">
        <v>4.4173748732901528</v>
      </c>
      <c r="AO8" s="22">
        <v>4.4211302966869379</v>
      </c>
      <c r="AP8" s="22">
        <v>4.4251278969813219</v>
      </c>
      <c r="AQ8" s="22">
        <v>4.4293647064163588</v>
      </c>
      <c r="AR8" s="22">
        <v>4.4338372683635621</v>
      </c>
      <c r="AS8" s="22">
        <v>4.4385418282772306</v>
      </c>
      <c r="AT8" s="22">
        <v>4.4434744204160186</v>
      </c>
      <c r="AU8" s="22">
        <v>4.4486308918926643</v>
      </c>
      <c r="AV8" s="22">
        <v>4.4540069209225734</v>
      </c>
      <c r="AW8" s="22">
        <v>4.4595980130302451</v>
      </c>
      <c r="AX8" s="22">
        <v>4.4653994947760092</v>
      </c>
      <c r="AY8" s="22">
        <v>4.4714065291229437</v>
      </c>
      <c r="AZ8" s="22">
        <v>4.4776141314757956</v>
      </c>
      <c r="BA8" s="22">
        <v>4.4840171838692857</v>
      </c>
      <c r="BB8" s="22">
        <v>4.4906104475501758</v>
      </c>
      <c r="BC8" s="22">
        <v>4.497388574196604</v>
      </c>
      <c r="BD8" s="22">
        <v>4.5043461205150868</v>
      </c>
      <c r="BE8" s="22">
        <v>4.5114775731996843</v>
      </c>
      <c r="BF8" s="22">
        <v>4.5187773525669792</v>
      </c>
      <c r="BG8" s="22">
        <v>4.5262398053025938</v>
      </c>
      <c r="BH8" s="22">
        <v>4.5338592118293439</v>
      </c>
      <c r="BI8" s="22">
        <v>4.5416298305680192</v>
      </c>
    </row>
    <row r="9" spans="1:61" x14ac:dyDescent="0.35">
      <c r="A9" s="18">
        <v>46148</v>
      </c>
      <c r="B9" s="15" t="s">
        <v>23</v>
      </c>
      <c r="C9" s="22"/>
      <c r="D9" s="22"/>
      <c r="E9" s="22"/>
      <c r="F9" s="22"/>
      <c r="G9" s="22">
        <v>3.9166505372736959</v>
      </c>
      <c r="H9" s="22">
        <v>3.9972037336191497</v>
      </c>
      <c r="I9" s="22">
        <v>4.0612356929372968</v>
      </c>
      <c r="J9" s="22">
        <v>4.1107158935840005</v>
      </c>
      <c r="K9" s="22">
        <v>4.1481703013663598</v>
      </c>
      <c r="L9" s="22">
        <v>4.1762237196432936</v>
      </c>
      <c r="M9" s="22">
        <v>4.1971255468976016</v>
      </c>
      <c r="N9" s="22">
        <v>4.2125620392557179</v>
      </c>
      <c r="O9" s="22">
        <v>4.2238274613081996</v>
      </c>
      <c r="P9" s="22">
        <v>4.2319544657462016</v>
      </c>
      <c r="Q9" s="22">
        <v>4.2377757549539483</v>
      </c>
      <c r="R9" s="22">
        <v>4.2419258427177686</v>
      </c>
      <c r="S9" s="22">
        <v>4.2448783598533737</v>
      </c>
      <c r="T9" s="22">
        <v>4.2469881723275478</v>
      </c>
      <c r="U9" s="22">
        <v>4.248521318675242</v>
      </c>
      <c r="V9" s="22">
        <v>4.2496790235505424</v>
      </c>
      <c r="W9" s="22">
        <v>4.2506153330191161</v>
      </c>
      <c r="X9" s="22">
        <v>4.2514474749164908</v>
      </c>
      <c r="Y9" s="22">
        <v>4.2522651233971072</v>
      </c>
      <c r="Z9" s="22">
        <v>4.2531377582207348</v>
      </c>
      <c r="AA9" s="22">
        <v>4.2541187709150421</v>
      </c>
      <c r="AB9" s="22">
        <v>4.2552490193191872</v>
      </c>
      <c r="AC9" s="22">
        <v>4.2565596871497142</v>
      </c>
      <c r="AD9" s="22">
        <v>4.2580740152765584</v>
      </c>
      <c r="AE9" s="22">
        <v>4.2598086273447935</v>
      </c>
      <c r="AF9" s="22">
        <v>4.2617748321686149</v>
      </c>
      <c r="AG9" s="22">
        <v>4.263980281114427</v>
      </c>
      <c r="AH9" s="22">
        <v>4.2664295566367603</v>
      </c>
      <c r="AI9" s="22">
        <v>4.2691243743536713</v>
      </c>
      <c r="AJ9" s="22">
        <v>4.2720645712818071</v>
      </c>
      <c r="AK9" s="22">
        <v>4.2752488236201387</v>
      </c>
      <c r="AL9" s="22">
        <v>4.2786748331298146</v>
      </c>
      <c r="AM9" s="22">
        <v>4.2823396040623871</v>
      </c>
      <c r="AN9" s="22">
        <v>4.2862399977913563</v>
      </c>
      <c r="AO9" s="22">
        <v>4.2903728361199311</v>
      </c>
      <c r="AP9" s="22">
        <v>4.2947346546670069</v>
      </c>
      <c r="AQ9" s="22">
        <v>4.2993216423859675</v>
      </c>
      <c r="AR9" s="22">
        <v>4.3041297160048728</v>
      </c>
      <c r="AS9" s="22">
        <v>4.3091546718531397</v>
      </c>
      <c r="AT9" s="22">
        <v>4.3143922436743321</v>
      </c>
      <c r="AU9" s="22">
        <v>4.3198381102011743</v>
      </c>
      <c r="AV9" s="22">
        <v>4.3254878979343836</v>
      </c>
      <c r="AW9" s="22">
        <v>4.3313371507098717</v>
      </c>
      <c r="AX9" s="22">
        <v>4.3373813008276771</v>
      </c>
      <c r="AY9" s="22">
        <v>4.3436156766083718</v>
      </c>
      <c r="AZ9" s="22">
        <v>4.3500355125871266</v>
      </c>
      <c r="BA9" s="22">
        <v>4.3566359585315375</v>
      </c>
      <c r="BB9" s="22">
        <v>4.3634120874385687</v>
      </c>
      <c r="BC9" s="22">
        <v>4.3703589026511995</v>
      </c>
      <c r="BD9" s="22">
        <v>4.3774713450580025</v>
      </c>
      <c r="BE9" s="22">
        <v>4.3847443012486673</v>
      </c>
      <c r="BF9" s="22">
        <v>4.3921726034910593</v>
      </c>
      <c r="BG9" s="22">
        <v>4.3997510266992004</v>
      </c>
      <c r="BH9" s="22">
        <v>4.4074742951995738</v>
      </c>
      <c r="BI9" s="22">
        <v>4.4153371210984584</v>
      </c>
    </row>
    <row r="10" spans="1:61" x14ac:dyDescent="0.35">
      <c r="A10" s="18">
        <v>46149</v>
      </c>
      <c r="B10" s="15" t="s">
        <v>23</v>
      </c>
      <c r="C10" s="22"/>
      <c r="D10" s="22"/>
      <c r="E10" s="22"/>
      <c r="F10" s="22"/>
      <c r="G10" s="22">
        <v>3.9133354135319105</v>
      </c>
      <c r="H10" s="22">
        <v>3.9925294456864782</v>
      </c>
      <c r="I10" s="22">
        <v>4.0553157058368221</v>
      </c>
      <c r="J10" s="22">
        <v>4.1036840956054208</v>
      </c>
      <c r="K10" s="22">
        <v>4.14016825812815</v>
      </c>
      <c r="L10" s="22">
        <v>4.1673832359441763</v>
      </c>
      <c r="M10" s="22">
        <v>4.1875524042259</v>
      </c>
      <c r="N10" s="22">
        <v>4.202340563211191</v>
      </c>
      <c r="O10" s="22">
        <v>4.2130273376989624</v>
      </c>
      <c r="P10" s="22">
        <v>4.2206352009872425</v>
      </c>
      <c r="Q10" s="22">
        <v>4.2259881013813079</v>
      </c>
      <c r="R10" s="22">
        <v>4.2297126442999895</v>
      </c>
      <c r="S10" s="22">
        <v>4.2322764252313165</v>
      </c>
      <c r="T10" s="22">
        <v>4.2340297066870063</v>
      </c>
      <c r="U10" s="22">
        <v>4.2352350336518674</v>
      </c>
      <c r="V10" s="22">
        <v>4.2360910987741063</v>
      </c>
      <c r="W10" s="22">
        <v>4.2367500340184501</v>
      </c>
      <c r="X10" s="22">
        <v>4.237327458737604</v>
      </c>
      <c r="Y10" s="22">
        <v>4.2379116932105303</v>
      </c>
      <c r="Z10" s="22">
        <v>4.2385710343102492</v>
      </c>
      <c r="AA10" s="22">
        <v>4.2393578169719142</v>
      </c>
      <c r="AB10" s="22">
        <v>4.2403119667399753</v>
      </c>
      <c r="AC10" s="22">
        <v>4.2414638156401887</v>
      </c>
      <c r="AD10" s="22">
        <v>4.2428358118954907</v>
      </c>
      <c r="AE10" s="22">
        <v>4.2444438359440344</v>
      </c>
      <c r="AF10" s="22">
        <v>4.2462984721086503</v>
      </c>
      <c r="AG10" s="22">
        <v>4.2484065349388622</v>
      </c>
      <c r="AH10" s="22">
        <v>4.2507717678192085</v>
      </c>
      <c r="AI10" s="22">
        <v>4.2533952336088987</v>
      </c>
      <c r="AJ10" s="22">
        <v>4.2562761838987901</v>
      </c>
      <c r="AK10" s="22">
        <v>4.2594126562099488</v>
      </c>
      <c r="AL10" s="22">
        <v>4.2628016596363274</v>
      </c>
      <c r="AM10" s="22">
        <v>4.266439501112008</v>
      </c>
      <c r="AN10" s="22">
        <v>4.270322428560605</v>
      </c>
      <c r="AO10" s="22">
        <v>4.2744467181904868</v>
      </c>
      <c r="AP10" s="22">
        <v>4.2788083687791163</v>
      </c>
      <c r="AQ10" s="22">
        <v>4.2834030296157666</v>
      </c>
      <c r="AR10" s="22">
        <v>4.2882260830226526</v>
      </c>
      <c r="AS10" s="22">
        <v>4.2932728104903646</v>
      </c>
      <c r="AT10" s="22">
        <v>4.2985384501788095</v>
      </c>
      <c r="AU10" s="22">
        <v>4.3040182023050129</v>
      </c>
      <c r="AV10" s="22">
        <v>4.309707230437029</v>
      </c>
      <c r="AW10" s="22">
        <v>4.3156006362379991</v>
      </c>
      <c r="AX10" s="22">
        <v>4.3216934376411293</v>
      </c>
      <c r="AY10" s="22">
        <v>4.3279805747552009</v>
      </c>
      <c r="AZ10" s="22">
        <v>4.3344569174944141</v>
      </c>
      <c r="BA10" s="22">
        <v>4.3411172723278693</v>
      </c>
      <c r="BB10" s="22">
        <v>4.3479563882649526</v>
      </c>
      <c r="BC10" s="22">
        <v>4.3549689621718937</v>
      </c>
      <c r="BD10" s="22">
        <v>4.3621496431887827</v>
      </c>
      <c r="BE10" s="22">
        <v>4.3694930359810877</v>
      </c>
      <c r="BF10" s="22">
        <v>4.376993704360979</v>
      </c>
      <c r="BG10" s="22">
        <v>4.3846461748868331</v>
      </c>
      <c r="BH10" s="22">
        <v>4.3924449430788259</v>
      </c>
      <c r="BI10" s="22">
        <v>4.4003845084611628</v>
      </c>
    </row>
    <row r="11" spans="1:61" x14ac:dyDescent="0.35">
      <c r="A11" s="18">
        <v>46150</v>
      </c>
      <c r="B11" s="15" t="s">
        <v>23</v>
      </c>
      <c r="C11" s="22"/>
      <c r="D11" s="22"/>
      <c r="E11" s="22"/>
      <c r="F11" s="22"/>
      <c r="G11" s="22">
        <v>3.9379571791506716</v>
      </c>
      <c r="H11" s="22">
        <v>4.0199623345192714</v>
      </c>
      <c r="I11" s="22">
        <v>4.0843370557468583</v>
      </c>
      <c r="J11" s="22">
        <v>4.1333667984553966</v>
      </c>
      <c r="K11" s="22">
        <v>4.1698895804357834</v>
      </c>
      <c r="L11" s="22">
        <v>4.1967653833763503</v>
      </c>
      <c r="M11" s="22">
        <v>4.216360271393083</v>
      </c>
      <c r="N11" s="22">
        <v>4.230431053778978</v>
      </c>
      <c r="O11" s="22">
        <v>4.2403241915347918</v>
      </c>
      <c r="P11" s="22">
        <v>4.2471118179392997</v>
      </c>
      <c r="Q11" s="22">
        <v>4.2516493740889976</v>
      </c>
      <c r="R11" s="22">
        <v>4.2545801826848173</v>
      </c>
      <c r="S11" s="22">
        <v>4.2563808988256371</v>
      </c>
      <c r="T11" s="22">
        <v>4.2574053018035274</v>
      </c>
      <c r="U11" s="22">
        <v>4.2579156019945685</v>
      </c>
      <c r="V11" s="22">
        <v>4.2581089355008404</v>
      </c>
      <c r="W11" s="22">
        <v>4.2581355458334524</v>
      </c>
      <c r="X11" s="22">
        <v>4.2581083889387346</v>
      </c>
      <c r="Y11" s="22">
        <v>4.2581130066877089</v>
      </c>
      <c r="Z11" s="22">
        <v>4.2582150572762831</v>
      </c>
      <c r="AA11" s="22">
        <v>4.2584643674286982</v>
      </c>
      <c r="AB11" s="22">
        <v>4.2588986781935585</v>
      </c>
      <c r="AC11" s="22">
        <v>4.2595464631580144</v>
      </c>
      <c r="AD11" s="22">
        <v>4.2604285719839377</v>
      </c>
      <c r="AE11" s="22">
        <v>4.2615595031106626</v>
      </c>
      <c r="AF11" s="22">
        <v>4.2629485478253963</v>
      </c>
      <c r="AG11" s="22">
        <v>4.2646009599482175</v>
      </c>
      <c r="AH11" s="22">
        <v>4.2665189972440052</v>
      </c>
      <c r="AI11" s="22">
        <v>4.2687027122884738</v>
      </c>
      <c r="AJ11" s="22">
        <v>4.2711506302268898</v>
      </c>
      <c r="AK11" s="22">
        <v>4.2738601514008181</v>
      </c>
      <c r="AL11" s="22">
        <v>4.2768277157073902</v>
      </c>
      <c r="AM11" s="22">
        <v>4.2800491439569193</v>
      </c>
      <c r="AN11" s="22">
        <v>4.2835202139793171</v>
      </c>
      <c r="AO11" s="22">
        <v>4.2872367048398488</v>
      </c>
      <c r="AP11" s="22">
        <v>4.2911941789036501</v>
      </c>
      <c r="AQ11" s="22">
        <v>4.2953879481353656</v>
      </c>
      <c r="AR11" s="22">
        <v>4.2998131403948916</v>
      </c>
      <c r="AS11" s="22">
        <v>4.3044648141682176</v>
      </c>
      <c r="AT11" s="22">
        <v>4.3093379916741776</v>
      </c>
      <c r="AU11" s="22">
        <v>4.3144276630105525</v>
      </c>
      <c r="AV11" s="22">
        <v>4.3197287871834851</v>
      </c>
      <c r="AW11" s="22">
        <v>4.3252362761901271</v>
      </c>
      <c r="AX11" s="22">
        <v>4.3309449848625707</v>
      </c>
      <c r="AY11" s="22">
        <v>4.3368497156110193</v>
      </c>
      <c r="AZ11" s="22">
        <v>4.3429452235631967</v>
      </c>
      <c r="BA11" s="22">
        <v>4.3492262211107304</v>
      </c>
      <c r="BB11" s="22">
        <v>4.3556873819408688</v>
      </c>
      <c r="BC11" s="22">
        <v>4.3623233444379839</v>
      </c>
      <c r="BD11" s="22">
        <v>4.3691287057310761</v>
      </c>
      <c r="BE11" s="22">
        <v>4.3760980043226647</v>
      </c>
      <c r="BF11" s="22">
        <v>4.3832257392833851</v>
      </c>
      <c r="BG11" s="22">
        <v>4.3905063936572768</v>
      </c>
      <c r="BH11" s="22">
        <v>4.397934440917199</v>
      </c>
      <c r="BI11" s="22">
        <v>4.4055043722736835</v>
      </c>
    </row>
    <row r="12" spans="1:61" x14ac:dyDescent="0.35">
      <c r="A12" s="18"/>
      <c r="B12" s="15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</row>
    <row r="13" spans="1:61" x14ac:dyDescent="0.35">
      <c r="A13" s="18"/>
      <c r="B13" s="15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</row>
    <row r="14" spans="1:61" x14ac:dyDescent="0.35">
      <c r="A14" s="18"/>
      <c r="B14" s="15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</row>
    <row r="15" spans="1:61" x14ac:dyDescent="0.35">
      <c r="A15" s="18"/>
      <c r="B15" s="15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</row>
    <row r="16" spans="1:61" x14ac:dyDescent="0.35">
      <c r="A16" s="18"/>
      <c r="B16" s="15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</row>
    <row r="17" spans="1:61" x14ac:dyDescent="0.35">
      <c r="A17" s="18"/>
      <c r="B17" s="15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</row>
    <row r="18" spans="1:61" x14ac:dyDescent="0.35">
      <c r="A18" s="18"/>
      <c r="B18" s="15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</row>
    <row r="19" spans="1:61" x14ac:dyDescent="0.35">
      <c r="A19" s="18"/>
      <c r="B19" s="15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</row>
    <row r="20" spans="1:61" x14ac:dyDescent="0.35">
      <c r="A20" s="18"/>
      <c r="B20" s="15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</row>
    <row r="21" spans="1:61" x14ac:dyDescent="0.35">
      <c r="A21" s="18"/>
      <c r="B21" s="15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</row>
    <row r="22" spans="1:61" x14ac:dyDescent="0.35">
      <c r="A22" s="18"/>
      <c r="B22" s="15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</row>
    <row r="23" spans="1:61" x14ac:dyDescent="0.35">
      <c r="A23" s="18"/>
      <c r="B23" s="15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</row>
    <row r="24" spans="1:61" x14ac:dyDescent="0.35">
      <c r="A24" s="18"/>
      <c r="B24" s="15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</row>
    <row r="25" spans="1:61" x14ac:dyDescent="0.35">
      <c r="A25" s="18"/>
      <c r="B25" s="15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</row>
    <row r="26" spans="1:61" x14ac:dyDescent="0.35">
      <c r="A26" s="18"/>
      <c r="B26" s="15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</row>
    <row r="27" spans="1:61" x14ac:dyDescent="0.35">
      <c r="A27" s="18"/>
      <c r="B27" s="1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</row>
    <row r="28" spans="1:61" x14ac:dyDescent="0.35">
      <c r="A28" s="18"/>
      <c r="B28" s="1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</row>
    <row r="29" spans="1:61" x14ac:dyDescent="0.3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</row>
    <row r="30" spans="1:61" x14ac:dyDescent="0.3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</row>
    <row r="31" spans="1:61" x14ac:dyDescent="0.3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</row>
    <row r="32" spans="1:61" x14ac:dyDescent="0.3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</row>
    <row r="33" spans="1:61" x14ac:dyDescent="0.35">
      <c r="A33" s="1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</row>
    <row r="34" spans="1:61" x14ac:dyDescent="0.35">
      <c r="A34" s="1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</row>
    <row r="35" spans="1:61" x14ac:dyDescent="0.35">
      <c r="A35" s="1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</row>
    <row r="36" spans="1:61" x14ac:dyDescent="0.35">
      <c r="A36" s="1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</row>
    <row r="37" spans="1:61" x14ac:dyDescent="0.35">
      <c r="A37" s="1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</row>
    <row r="38" spans="1:61" x14ac:dyDescent="0.35">
      <c r="A38" s="1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</row>
    <row r="39" spans="1:61" x14ac:dyDescent="0.35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</row>
    <row r="40" spans="1:61" x14ac:dyDescent="0.35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</row>
    <row r="41" spans="1:61" x14ac:dyDescent="0.35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</row>
    <row r="42" spans="1:61" x14ac:dyDescent="0.35">
      <c r="A42" s="1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</row>
    <row r="43" spans="1:61" x14ac:dyDescent="0.35">
      <c r="A43" s="1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</row>
    <row r="44" spans="1:61" x14ac:dyDescent="0.35">
      <c r="A44" s="1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</row>
    <row r="45" spans="1:61" x14ac:dyDescent="0.35">
      <c r="A45" s="1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</row>
    <row r="46" spans="1:61" x14ac:dyDescent="0.35">
      <c r="A46" s="1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</row>
    <row r="47" spans="1:61" x14ac:dyDescent="0.35">
      <c r="A47" s="1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</row>
    <row r="48" spans="1:61" x14ac:dyDescent="0.35">
      <c r="A48" s="1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</row>
    <row r="49" spans="1:61" x14ac:dyDescent="0.35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</row>
    <row r="50" spans="1:61" x14ac:dyDescent="0.35">
      <c r="A50" s="1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</row>
    <row r="51" spans="1:61" x14ac:dyDescent="0.3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</row>
    <row r="52" spans="1:61" x14ac:dyDescent="0.35">
      <c r="A52" s="1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</row>
    <row r="53" spans="1:61" x14ac:dyDescent="0.35">
      <c r="A53" s="1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</row>
    <row r="54" spans="1:61" x14ac:dyDescent="0.35">
      <c r="A54" s="1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</row>
    <row r="55" spans="1:61" x14ac:dyDescent="0.35">
      <c r="A55" s="1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</row>
    <row r="56" spans="1:61" x14ac:dyDescent="0.35">
      <c r="A56" s="1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</row>
    <row r="57" spans="1:61" x14ac:dyDescent="0.35">
      <c r="A57" s="1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</row>
    <row r="58" spans="1:61" x14ac:dyDescent="0.35">
      <c r="A58" s="1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</row>
    <row r="59" spans="1:61" x14ac:dyDescent="0.35">
      <c r="A59" s="1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</row>
    <row r="60" spans="1:61" x14ac:dyDescent="0.35">
      <c r="A60" s="1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</row>
    <row r="61" spans="1:61" x14ac:dyDescent="0.35">
      <c r="A61" s="1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</row>
    <row r="62" spans="1:61" x14ac:dyDescent="0.35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</row>
    <row r="63" spans="1:61" x14ac:dyDescent="0.35">
      <c r="A63" s="18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</row>
    <row r="64" spans="1:61" x14ac:dyDescent="0.35">
      <c r="A64" s="18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</row>
    <row r="65" spans="1:61" x14ac:dyDescent="0.35">
      <c r="A65" s="18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</row>
    <row r="66" spans="1:61" x14ac:dyDescent="0.35">
      <c r="A66" s="18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</row>
    <row r="67" spans="1:61" x14ac:dyDescent="0.35">
      <c r="A67" s="18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</row>
    <row r="68" spans="1:61" x14ac:dyDescent="0.35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</row>
    <row r="69" spans="1:61" x14ac:dyDescent="0.35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</row>
    <row r="70" spans="1:61" x14ac:dyDescent="0.35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</row>
    <row r="71" spans="1:61" x14ac:dyDescent="0.35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</row>
    <row r="72" spans="1:61" x14ac:dyDescent="0.35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</row>
    <row r="73" spans="1:61" x14ac:dyDescent="0.35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</row>
    <row r="74" spans="1:61" x14ac:dyDescent="0.35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</row>
    <row r="75" spans="1:61" x14ac:dyDescent="0.35"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</row>
    <row r="76" spans="1:61" x14ac:dyDescent="0.35"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</row>
    <row r="77" spans="1:61" x14ac:dyDescent="0.35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</row>
    <row r="78" spans="1:61" x14ac:dyDescent="0.35"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</row>
    <row r="79" spans="1:61" x14ac:dyDescent="0.35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</row>
    <row r="80" spans="1:61" x14ac:dyDescent="0.3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</row>
    <row r="81" spans="2:61" x14ac:dyDescent="0.35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</row>
    <row r="82" spans="2:61" x14ac:dyDescent="0.35"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</row>
    <row r="83" spans="2:61" x14ac:dyDescent="0.35"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</row>
    <row r="84" spans="2:61" x14ac:dyDescent="0.35"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</row>
    <row r="85" spans="2:61" x14ac:dyDescent="0.35"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</row>
    <row r="86" spans="2:61" x14ac:dyDescent="0.35"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</row>
    <row r="87" spans="2:61" x14ac:dyDescent="0.35"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</row>
    <row r="88" spans="2:61" x14ac:dyDescent="0.35"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</row>
    <row r="89" spans="2:61" x14ac:dyDescent="0.35"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</row>
    <row r="90" spans="2:61" x14ac:dyDescent="0.35"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</row>
    <row r="91" spans="2:61" x14ac:dyDescent="0.35"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</row>
    <row r="92" spans="2:61" x14ac:dyDescent="0.35"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</row>
    <row r="93" spans="2:61" x14ac:dyDescent="0.35"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</row>
    <row r="94" spans="2:61" x14ac:dyDescent="0.35"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</row>
    <row r="95" spans="2:61" x14ac:dyDescent="0.35"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</row>
    <row r="96" spans="2:61" x14ac:dyDescent="0.35"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</row>
    <row r="97" spans="2:61" x14ac:dyDescent="0.35"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</row>
    <row r="98" spans="2:61" x14ac:dyDescent="0.35"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</row>
    <row r="99" spans="2:61" x14ac:dyDescent="0.35"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</row>
    <row r="100" spans="2:61" x14ac:dyDescent="0.35"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</row>
    <row r="101" spans="2:61" x14ac:dyDescent="0.35"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</row>
    <row r="102" spans="2:61" x14ac:dyDescent="0.35"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</row>
    <row r="103" spans="2:61" x14ac:dyDescent="0.35"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</row>
    <row r="104" spans="2:61" x14ac:dyDescent="0.35"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</row>
    <row r="105" spans="2:61" x14ac:dyDescent="0.35"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</row>
    <row r="106" spans="2:61" x14ac:dyDescent="0.35"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</row>
    <row r="107" spans="2:61" x14ac:dyDescent="0.35"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</row>
    <row r="108" spans="2:61" x14ac:dyDescent="0.35"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</row>
    <row r="109" spans="2:61" x14ac:dyDescent="0.35"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</row>
    <row r="110" spans="2:61" x14ac:dyDescent="0.35"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</row>
    <row r="111" spans="2:61" x14ac:dyDescent="0.35"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</row>
    <row r="112" spans="2:61" x14ac:dyDescent="0.35"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</row>
    <row r="113" spans="2:61" x14ac:dyDescent="0.35"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</row>
    <row r="114" spans="2:61" x14ac:dyDescent="0.35"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</row>
    <row r="115" spans="2:61" x14ac:dyDescent="0.35"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</row>
    <row r="116" spans="2:61" x14ac:dyDescent="0.35"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</row>
    <row r="117" spans="2:61" x14ac:dyDescent="0.35"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</row>
    <row r="118" spans="2:61" x14ac:dyDescent="0.35"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</row>
    <row r="119" spans="2:61" x14ac:dyDescent="0.35"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</row>
    <row r="120" spans="2:61" x14ac:dyDescent="0.35"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</row>
    <row r="121" spans="2:61" x14ac:dyDescent="0.35"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</row>
    <row r="122" spans="2:61" x14ac:dyDescent="0.35"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</row>
    <row r="123" spans="2:61" x14ac:dyDescent="0.35"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</row>
    <row r="124" spans="2:61" x14ac:dyDescent="0.35"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</row>
    <row r="125" spans="2:61" x14ac:dyDescent="0.35"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</row>
    <row r="126" spans="2:61" x14ac:dyDescent="0.35"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</row>
    <row r="127" spans="2:61" x14ac:dyDescent="0.35"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</row>
    <row r="128" spans="2:61" x14ac:dyDescent="0.35"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</row>
    <row r="129" spans="2:61" x14ac:dyDescent="0.35"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</row>
    <row r="130" spans="2:61" x14ac:dyDescent="0.35"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</row>
    <row r="131" spans="2:61" x14ac:dyDescent="0.35"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</row>
    <row r="132" spans="2:61" x14ac:dyDescent="0.35"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</row>
    <row r="133" spans="2:61" x14ac:dyDescent="0.35"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</row>
    <row r="134" spans="2:61" x14ac:dyDescent="0.35"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</row>
    <row r="135" spans="2:61" x14ac:dyDescent="0.35"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</row>
    <row r="136" spans="2:61" x14ac:dyDescent="0.35"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</row>
    <row r="137" spans="2:61" x14ac:dyDescent="0.35"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</row>
    <row r="138" spans="2:61" x14ac:dyDescent="0.35"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</row>
    <row r="139" spans="2:61" x14ac:dyDescent="0.35"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</row>
    <row r="140" spans="2:61" x14ac:dyDescent="0.35"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</row>
    <row r="141" spans="2:61" x14ac:dyDescent="0.35"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</row>
    <row r="142" spans="2:61" x14ac:dyDescent="0.35"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</row>
    <row r="143" spans="2:61" x14ac:dyDescent="0.35"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</row>
    <row r="144" spans="2:61" x14ac:dyDescent="0.35"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</row>
    <row r="145" spans="2:61" x14ac:dyDescent="0.35"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</row>
    <row r="146" spans="2:61" x14ac:dyDescent="0.35"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</row>
    <row r="147" spans="2:61" x14ac:dyDescent="0.35"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</row>
    <row r="148" spans="2:61" x14ac:dyDescent="0.35"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</row>
    <row r="149" spans="2:61" x14ac:dyDescent="0.35"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</row>
    <row r="150" spans="2:61" x14ac:dyDescent="0.35"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</row>
    <row r="151" spans="2:61" x14ac:dyDescent="0.35"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</row>
    <row r="152" spans="2:61" x14ac:dyDescent="0.35"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</row>
    <row r="153" spans="2:61" x14ac:dyDescent="0.35"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</row>
    <row r="154" spans="2:61" x14ac:dyDescent="0.35"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</row>
    <row r="155" spans="2:61" x14ac:dyDescent="0.35"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</row>
    <row r="156" spans="2:61" x14ac:dyDescent="0.35"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</row>
    <row r="157" spans="2:61" x14ac:dyDescent="0.35"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</row>
    <row r="158" spans="2:61" x14ac:dyDescent="0.35"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</row>
    <row r="159" spans="2:61" x14ac:dyDescent="0.35"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</row>
    <row r="160" spans="2:61" x14ac:dyDescent="0.35"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</row>
    <row r="161" spans="2:61" x14ac:dyDescent="0.35"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</row>
    <row r="162" spans="2:61" x14ac:dyDescent="0.35"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</row>
    <row r="163" spans="2:61" x14ac:dyDescent="0.35"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</row>
    <row r="164" spans="2:61" x14ac:dyDescent="0.35"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</row>
    <row r="165" spans="2:61" x14ac:dyDescent="0.35"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</row>
    <row r="166" spans="2:61" x14ac:dyDescent="0.35"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</row>
    <row r="167" spans="2:61" x14ac:dyDescent="0.35"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</row>
    <row r="168" spans="2:61" x14ac:dyDescent="0.35"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</row>
    <row r="169" spans="2:61" x14ac:dyDescent="0.35"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</row>
    <row r="170" spans="2:61" x14ac:dyDescent="0.35"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</row>
    <row r="171" spans="2:61" x14ac:dyDescent="0.35"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</row>
    <row r="172" spans="2:61" x14ac:dyDescent="0.35"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</row>
    <row r="173" spans="2:61" x14ac:dyDescent="0.35"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</row>
    <row r="174" spans="2:61" x14ac:dyDescent="0.35"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</row>
    <row r="175" spans="2:61" x14ac:dyDescent="0.35"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</row>
    <row r="176" spans="2:61" x14ac:dyDescent="0.35"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</row>
    <row r="177" spans="2:61" x14ac:dyDescent="0.35"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</row>
    <row r="178" spans="2:61" x14ac:dyDescent="0.35"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</row>
    <row r="179" spans="2:61" x14ac:dyDescent="0.35"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</row>
    <row r="180" spans="2:61" x14ac:dyDescent="0.35"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</row>
    <row r="181" spans="2:61" x14ac:dyDescent="0.35"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</row>
    <row r="182" spans="2:61" x14ac:dyDescent="0.35"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</row>
    <row r="183" spans="2:61" x14ac:dyDescent="0.35"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</row>
    <row r="184" spans="2:61" x14ac:dyDescent="0.35"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</row>
    <row r="185" spans="2:61" x14ac:dyDescent="0.35"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</row>
    <row r="186" spans="2:61" x14ac:dyDescent="0.35"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</row>
    <row r="187" spans="2:61" x14ac:dyDescent="0.35"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</row>
    <row r="188" spans="2:61" x14ac:dyDescent="0.35"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</row>
    <row r="189" spans="2:61" x14ac:dyDescent="0.35"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</row>
    <row r="190" spans="2:61" x14ac:dyDescent="0.35"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</row>
    <row r="191" spans="2:61" x14ac:dyDescent="0.35"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</row>
    <row r="192" spans="2:61" x14ac:dyDescent="0.35"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</row>
    <row r="193" spans="2:61" x14ac:dyDescent="0.35"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</row>
    <row r="194" spans="2:61" x14ac:dyDescent="0.35"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</row>
    <row r="195" spans="2:61" x14ac:dyDescent="0.35"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</row>
    <row r="196" spans="2:61" x14ac:dyDescent="0.35"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</row>
    <row r="197" spans="2:61" x14ac:dyDescent="0.35"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</row>
    <row r="198" spans="2:61" x14ac:dyDescent="0.35"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  <c r="AO198" s="25"/>
      <c r="AP198" s="25"/>
      <c r="AQ198" s="25"/>
      <c r="AR198" s="25"/>
      <c r="AS198" s="25"/>
      <c r="AT198" s="25"/>
      <c r="AU198" s="25"/>
      <c r="AV198" s="25"/>
      <c r="AW198" s="25"/>
      <c r="AX198" s="25"/>
      <c r="AY198" s="25"/>
      <c r="AZ198" s="25"/>
      <c r="BA198" s="25"/>
      <c r="BB198" s="25"/>
      <c r="BC198" s="25"/>
      <c r="BD198" s="25"/>
      <c r="BE198" s="25"/>
      <c r="BF198" s="25"/>
      <c r="BG198" s="25"/>
      <c r="BH198" s="25"/>
      <c r="BI198" s="25"/>
    </row>
    <row r="199" spans="2:61" x14ac:dyDescent="0.35"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  <c r="AO199" s="25"/>
      <c r="AP199" s="25"/>
      <c r="AQ199" s="25"/>
      <c r="AR199" s="25"/>
      <c r="AS199" s="25"/>
      <c r="AT199" s="25"/>
      <c r="AU199" s="25"/>
      <c r="AV199" s="25"/>
      <c r="AW199" s="25"/>
      <c r="AX199" s="25"/>
      <c r="AY199" s="25"/>
      <c r="AZ199" s="25"/>
      <c r="BA199" s="25"/>
      <c r="BB199" s="25"/>
      <c r="BC199" s="25"/>
      <c r="BD199" s="25"/>
      <c r="BE199" s="25"/>
      <c r="BF199" s="25"/>
      <c r="BG199" s="25"/>
      <c r="BH199" s="25"/>
      <c r="BI199" s="25"/>
    </row>
    <row r="200" spans="2:61" x14ac:dyDescent="0.35"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  <c r="AO200" s="25"/>
      <c r="AP200" s="25"/>
      <c r="AQ200" s="25"/>
      <c r="AR200" s="25"/>
      <c r="AS200" s="25"/>
      <c r="AT200" s="25"/>
      <c r="AU200" s="25"/>
      <c r="AV200" s="25"/>
      <c r="AW200" s="25"/>
      <c r="AX200" s="25"/>
      <c r="AY200" s="25"/>
      <c r="AZ200" s="25"/>
      <c r="BA200" s="25"/>
      <c r="BB200" s="25"/>
      <c r="BC200" s="25"/>
      <c r="BD200" s="25"/>
      <c r="BE200" s="25"/>
      <c r="BF200" s="25"/>
      <c r="BG200" s="25"/>
      <c r="BH200" s="25"/>
      <c r="BI200" s="25"/>
    </row>
    <row r="201" spans="2:61" x14ac:dyDescent="0.35"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  <c r="AO201" s="25"/>
      <c r="AP201" s="25"/>
      <c r="AQ201" s="25"/>
      <c r="AR201" s="25"/>
      <c r="AS201" s="25"/>
      <c r="AT201" s="25"/>
      <c r="AU201" s="25"/>
      <c r="AV201" s="25"/>
      <c r="AW201" s="25"/>
      <c r="AX201" s="25"/>
      <c r="AY201" s="25"/>
      <c r="AZ201" s="25"/>
      <c r="BA201" s="25"/>
      <c r="BB201" s="25"/>
      <c r="BC201" s="25"/>
      <c r="BD201" s="25"/>
      <c r="BE201" s="25"/>
      <c r="BF201" s="25"/>
      <c r="BG201" s="25"/>
      <c r="BH201" s="25"/>
      <c r="BI201" s="25"/>
    </row>
    <row r="202" spans="2:61" x14ac:dyDescent="0.35"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  <c r="AO202" s="25"/>
      <c r="AP202" s="25"/>
      <c r="AQ202" s="25"/>
      <c r="AR202" s="25"/>
      <c r="AS202" s="25"/>
      <c r="AT202" s="25"/>
      <c r="AU202" s="25"/>
      <c r="AV202" s="25"/>
      <c r="AW202" s="25"/>
      <c r="AX202" s="25"/>
      <c r="AY202" s="25"/>
      <c r="AZ202" s="25"/>
      <c r="BA202" s="25"/>
      <c r="BB202" s="25"/>
      <c r="BC202" s="25"/>
      <c r="BD202" s="25"/>
      <c r="BE202" s="25"/>
      <c r="BF202" s="25"/>
      <c r="BG202" s="25"/>
      <c r="BH202" s="25"/>
      <c r="BI202" s="25"/>
    </row>
    <row r="203" spans="2:61" x14ac:dyDescent="0.35"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  <c r="AO203" s="25"/>
      <c r="AP203" s="25"/>
      <c r="AQ203" s="25"/>
      <c r="AR203" s="25"/>
      <c r="AS203" s="25"/>
      <c r="AT203" s="25"/>
      <c r="AU203" s="25"/>
      <c r="AV203" s="25"/>
      <c r="AW203" s="25"/>
      <c r="AX203" s="25"/>
      <c r="AY203" s="25"/>
      <c r="AZ203" s="25"/>
      <c r="BA203" s="25"/>
      <c r="BB203" s="25"/>
      <c r="BC203" s="25"/>
      <c r="BD203" s="25"/>
      <c r="BE203" s="25"/>
      <c r="BF203" s="25"/>
      <c r="BG203" s="25"/>
      <c r="BH203" s="25"/>
      <c r="BI203" s="25"/>
    </row>
    <row r="204" spans="2:61" x14ac:dyDescent="0.35"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  <c r="AO204" s="25"/>
      <c r="AP204" s="25"/>
      <c r="AQ204" s="25"/>
      <c r="AR204" s="25"/>
      <c r="AS204" s="25"/>
      <c r="AT204" s="25"/>
      <c r="AU204" s="25"/>
      <c r="AV204" s="25"/>
      <c r="AW204" s="25"/>
      <c r="AX204" s="25"/>
      <c r="AY204" s="25"/>
      <c r="AZ204" s="25"/>
      <c r="BA204" s="25"/>
      <c r="BB204" s="25"/>
      <c r="BC204" s="25"/>
      <c r="BD204" s="25"/>
      <c r="BE204" s="25"/>
      <c r="BF204" s="25"/>
      <c r="BG204" s="25"/>
      <c r="BH204" s="25"/>
      <c r="BI204" s="25"/>
    </row>
    <row r="205" spans="2:61" x14ac:dyDescent="0.35"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  <c r="AO205" s="25"/>
      <c r="AP205" s="25"/>
      <c r="AQ205" s="25"/>
      <c r="AR205" s="25"/>
      <c r="AS205" s="25"/>
      <c r="AT205" s="25"/>
      <c r="AU205" s="25"/>
      <c r="AV205" s="25"/>
      <c r="AW205" s="25"/>
      <c r="AX205" s="25"/>
      <c r="AY205" s="25"/>
      <c r="AZ205" s="25"/>
      <c r="BA205" s="25"/>
      <c r="BB205" s="25"/>
      <c r="BC205" s="25"/>
      <c r="BD205" s="25"/>
      <c r="BE205" s="25"/>
      <c r="BF205" s="25"/>
      <c r="BG205" s="25"/>
      <c r="BH205" s="25"/>
      <c r="BI205" s="25"/>
    </row>
    <row r="206" spans="2:61" x14ac:dyDescent="0.35"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  <c r="AO206" s="25"/>
      <c r="AP206" s="25"/>
      <c r="AQ206" s="25"/>
      <c r="AR206" s="25"/>
      <c r="AS206" s="25"/>
      <c r="AT206" s="25"/>
      <c r="AU206" s="25"/>
      <c r="AV206" s="25"/>
      <c r="AW206" s="25"/>
      <c r="AX206" s="25"/>
      <c r="AY206" s="25"/>
      <c r="AZ206" s="25"/>
      <c r="BA206" s="25"/>
      <c r="BB206" s="25"/>
      <c r="BC206" s="25"/>
      <c r="BD206" s="25"/>
      <c r="BE206" s="25"/>
      <c r="BF206" s="25"/>
      <c r="BG206" s="25"/>
      <c r="BH206" s="25"/>
      <c r="BI206" s="25"/>
    </row>
    <row r="207" spans="2:61" x14ac:dyDescent="0.35"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  <c r="AO207" s="25"/>
      <c r="AP207" s="25"/>
      <c r="AQ207" s="25"/>
      <c r="AR207" s="25"/>
      <c r="AS207" s="25"/>
      <c r="AT207" s="25"/>
      <c r="AU207" s="25"/>
      <c r="AV207" s="25"/>
      <c r="AW207" s="25"/>
      <c r="AX207" s="25"/>
      <c r="AY207" s="25"/>
      <c r="AZ207" s="25"/>
      <c r="BA207" s="25"/>
      <c r="BB207" s="25"/>
      <c r="BC207" s="25"/>
      <c r="BD207" s="25"/>
      <c r="BE207" s="25"/>
      <c r="BF207" s="25"/>
      <c r="BG207" s="25"/>
      <c r="BH207" s="25"/>
      <c r="BI207" s="25"/>
    </row>
    <row r="208" spans="2:61" x14ac:dyDescent="0.35"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  <c r="AO208" s="25"/>
      <c r="AP208" s="25"/>
      <c r="AQ208" s="25"/>
      <c r="AR208" s="25"/>
      <c r="AS208" s="25"/>
      <c r="AT208" s="25"/>
      <c r="AU208" s="25"/>
      <c r="AV208" s="25"/>
      <c r="AW208" s="25"/>
      <c r="AX208" s="25"/>
      <c r="AY208" s="25"/>
      <c r="AZ208" s="25"/>
      <c r="BA208" s="25"/>
      <c r="BB208" s="25"/>
      <c r="BC208" s="25"/>
      <c r="BD208" s="25"/>
      <c r="BE208" s="25"/>
      <c r="BF208" s="25"/>
      <c r="BG208" s="25"/>
      <c r="BH208" s="25"/>
      <c r="BI208" s="25"/>
    </row>
    <row r="209" spans="2:61" x14ac:dyDescent="0.35"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  <c r="AO209" s="25"/>
      <c r="AP209" s="25"/>
      <c r="AQ209" s="25"/>
      <c r="AR209" s="25"/>
      <c r="AS209" s="25"/>
      <c r="AT209" s="25"/>
      <c r="AU209" s="25"/>
      <c r="AV209" s="25"/>
      <c r="AW209" s="25"/>
      <c r="AX209" s="25"/>
      <c r="AY209" s="25"/>
      <c r="AZ209" s="25"/>
      <c r="BA209" s="25"/>
      <c r="BB209" s="25"/>
      <c r="BC209" s="25"/>
      <c r="BD209" s="25"/>
      <c r="BE209" s="25"/>
      <c r="BF209" s="25"/>
      <c r="BG209" s="25"/>
      <c r="BH209" s="25"/>
      <c r="BI209" s="25"/>
    </row>
    <row r="210" spans="2:61" x14ac:dyDescent="0.35"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  <c r="AO210" s="25"/>
      <c r="AP210" s="25"/>
      <c r="AQ210" s="25"/>
      <c r="AR210" s="25"/>
      <c r="AS210" s="25"/>
      <c r="AT210" s="25"/>
      <c r="AU210" s="25"/>
      <c r="AV210" s="25"/>
      <c r="AW210" s="25"/>
      <c r="AX210" s="25"/>
      <c r="AY210" s="25"/>
      <c r="AZ210" s="25"/>
      <c r="BA210" s="25"/>
      <c r="BB210" s="25"/>
      <c r="BC210" s="25"/>
      <c r="BD210" s="25"/>
      <c r="BE210" s="25"/>
      <c r="BF210" s="25"/>
      <c r="BG210" s="25"/>
      <c r="BH210" s="25"/>
      <c r="BI210" s="25"/>
    </row>
    <row r="211" spans="2:61" x14ac:dyDescent="0.35"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  <c r="AO211" s="25"/>
      <c r="AP211" s="25"/>
      <c r="AQ211" s="25"/>
      <c r="AR211" s="25"/>
      <c r="AS211" s="25"/>
      <c r="AT211" s="25"/>
      <c r="AU211" s="25"/>
      <c r="AV211" s="25"/>
      <c r="AW211" s="25"/>
      <c r="AX211" s="25"/>
      <c r="AY211" s="25"/>
      <c r="AZ211" s="25"/>
      <c r="BA211" s="25"/>
      <c r="BB211" s="25"/>
      <c r="BC211" s="25"/>
      <c r="BD211" s="25"/>
      <c r="BE211" s="25"/>
      <c r="BF211" s="25"/>
      <c r="BG211" s="25"/>
      <c r="BH211" s="25"/>
      <c r="BI211" s="25"/>
    </row>
    <row r="212" spans="2:61" x14ac:dyDescent="0.35"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  <c r="AO212" s="25"/>
      <c r="AP212" s="25"/>
      <c r="AQ212" s="25"/>
      <c r="AR212" s="25"/>
      <c r="AS212" s="25"/>
      <c r="AT212" s="25"/>
      <c r="AU212" s="25"/>
      <c r="AV212" s="25"/>
      <c r="AW212" s="25"/>
      <c r="AX212" s="25"/>
      <c r="AY212" s="25"/>
      <c r="AZ212" s="25"/>
      <c r="BA212" s="25"/>
      <c r="BB212" s="25"/>
      <c r="BC212" s="25"/>
      <c r="BD212" s="25"/>
      <c r="BE212" s="25"/>
      <c r="BF212" s="25"/>
      <c r="BG212" s="25"/>
      <c r="BH212" s="25"/>
      <c r="BI212" s="25"/>
    </row>
    <row r="213" spans="2:61" x14ac:dyDescent="0.35"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  <c r="AO213" s="25"/>
      <c r="AP213" s="25"/>
      <c r="AQ213" s="25"/>
      <c r="AR213" s="25"/>
      <c r="AS213" s="25"/>
      <c r="AT213" s="25"/>
      <c r="AU213" s="25"/>
      <c r="AV213" s="25"/>
      <c r="AW213" s="25"/>
      <c r="AX213" s="25"/>
      <c r="AY213" s="25"/>
      <c r="AZ213" s="25"/>
      <c r="BA213" s="25"/>
      <c r="BB213" s="25"/>
      <c r="BC213" s="25"/>
      <c r="BD213" s="25"/>
      <c r="BE213" s="25"/>
      <c r="BF213" s="25"/>
      <c r="BG213" s="25"/>
      <c r="BH213" s="25"/>
      <c r="BI213" s="25"/>
    </row>
    <row r="214" spans="2:61" x14ac:dyDescent="0.35"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  <c r="AO214" s="25"/>
      <c r="AP214" s="25"/>
      <c r="AQ214" s="25"/>
      <c r="AR214" s="25"/>
      <c r="AS214" s="25"/>
      <c r="AT214" s="25"/>
      <c r="AU214" s="25"/>
      <c r="AV214" s="25"/>
      <c r="AW214" s="25"/>
      <c r="AX214" s="25"/>
      <c r="AY214" s="25"/>
      <c r="AZ214" s="25"/>
      <c r="BA214" s="25"/>
      <c r="BB214" s="25"/>
      <c r="BC214" s="25"/>
      <c r="BD214" s="25"/>
      <c r="BE214" s="25"/>
      <c r="BF214" s="25"/>
      <c r="BG214" s="25"/>
      <c r="BH214" s="25"/>
      <c r="BI214" s="25"/>
    </row>
    <row r="215" spans="2:61" x14ac:dyDescent="0.35"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  <c r="AO215" s="25"/>
      <c r="AP215" s="25"/>
      <c r="AQ215" s="25"/>
      <c r="AR215" s="25"/>
      <c r="AS215" s="25"/>
      <c r="AT215" s="25"/>
      <c r="AU215" s="25"/>
      <c r="AV215" s="25"/>
      <c r="AW215" s="25"/>
      <c r="AX215" s="25"/>
      <c r="AY215" s="25"/>
      <c r="AZ215" s="25"/>
      <c r="BA215" s="25"/>
      <c r="BB215" s="25"/>
      <c r="BC215" s="25"/>
      <c r="BD215" s="25"/>
      <c r="BE215" s="25"/>
      <c r="BF215" s="25"/>
      <c r="BG215" s="25"/>
      <c r="BH215" s="25"/>
      <c r="BI215" s="25"/>
    </row>
    <row r="216" spans="2:61" x14ac:dyDescent="0.35"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  <c r="AO216" s="25"/>
      <c r="AP216" s="25"/>
      <c r="AQ216" s="25"/>
      <c r="AR216" s="25"/>
      <c r="AS216" s="25"/>
      <c r="AT216" s="25"/>
      <c r="AU216" s="25"/>
      <c r="AV216" s="25"/>
      <c r="AW216" s="25"/>
      <c r="AX216" s="25"/>
      <c r="AY216" s="25"/>
      <c r="AZ216" s="25"/>
      <c r="BA216" s="25"/>
      <c r="BB216" s="25"/>
      <c r="BC216" s="25"/>
      <c r="BD216" s="25"/>
      <c r="BE216" s="25"/>
      <c r="BF216" s="25"/>
      <c r="BG216" s="25"/>
      <c r="BH216" s="25"/>
      <c r="BI216" s="25"/>
    </row>
    <row r="217" spans="2:61" x14ac:dyDescent="0.35"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  <c r="AO217" s="25"/>
      <c r="AP217" s="25"/>
      <c r="AQ217" s="25"/>
      <c r="AR217" s="25"/>
      <c r="AS217" s="25"/>
      <c r="AT217" s="25"/>
      <c r="AU217" s="25"/>
      <c r="AV217" s="25"/>
      <c r="AW217" s="25"/>
      <c r="AX217" s="25"/>
      <c r="AY217" s="25"/>
      <c r="AZ217" s="25"/>
      <c r="BA217" s="25"/>
      <c r="BB217" s="25"/>
      <c r="BC217" s="25"/>
      <c r="BD217" s="25"/>
      <c r="BE217" s="25"/>
      <c r="BF217" s="25"/>
      <c r="BG217" s="25"/>
      <c r="BH217" s="25"/>
      <c r="BI217" s="25"/>
    </row>
    <row r="218" spans="2:61" x14ac:dyDescent="0.35"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  <c r="AO218" s="25"/>
      <c r="AP218" s="25"/>
      <c r="AQ218" s="25"/>
      <c r="AR218" s="25"/>
      <c r="AS218" s="25"/>
      <c r="AT218" s="25"/>
      <c r="AU218" s="25"/>
      <c r="AV218" s="25"/>
      <c r="AW218" s="25"/>
      <c r="AX218" s="25"/>
      <c r="AY218" s="25"/>
      <c r="AZ218" s="25"/>
      <c r="BA218" s="25"/>
      <c r="BB218" s="25"/>
      <c r="BC218" s="25"/>
      <c r="BD218" s="25"/>
      <c r="BE218" s="25"/>
      <c r="BF218" s="25"/>
      <c r="BG218" s="25"/>
      <c r="BH218" s="25"/>
      <c r="BI218" s="25"/>
    </row>
    <row r="219" spans="2:61" x14ac:dyDescent="0.35"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  <c r="AO219" s="25"/>
      <c r="AP219" s="25"/>
      <c r="AQ219" s="25"/>
      <c r="AR219" s="25"/>
      <c r="AS219" s="25"/>
      <c r="AT219" s="25"/>
      <c r="AU219" s="25"/>
      <c r="AV219" s="25"/>
      <c r="AW219" s="25"/>
      <c r="AX219" s="25"/>
      <c r="AY219" s="25"/>
      <c r="AZ219" s="25"/>
      <c r="BA219" s="25"/>
      <c r="BB219" s="25"/>
      <c r="BC219" s="25"/>
      <c r="BD219" s="25"/>
      <c r="BE219" s="25"/>
      <c r="BF219" s="25"/>
      <c r="BG219" s="25"/>
      <c r="BH219" s="25"/>
      <c r="BI219" s="25"/>
    </row>
    <row r="220" spans="2:61" x14ac:dyDescent="0.35"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  <c r="AO220" s="25"/>
      <c r="AP220" s="25"/>
      <c r="AQ220" s="25"/>
      <c r="AR220" s="25"/>
      <c r="AS220" s="25"/>
      <c r="AT220" s="25"/>
      <c r="AU220" s="25"/>
      <c r="AV220" s="25"/>
      <c r="AW220" s="25"/>
      <c r="AX220" s="25"/>
      <c r="AY220" s="25"/>
      <c r="AZ220" s="25"/>
      <c r="BA220" s="25"/>
      <c r="BB220" s="25"/>
      <c r="BC220" s="25"/>
      <c r="BD220" s="25"/>
      <c r="BE220" s="25"/>
      <c r="BF220" s="25"/>
      <c r="BG220" s="25"/>
      <c r="BH220" s="25"/>
      <c r="BI220" s="25"/>
    </row>
    <row r="221" spans="2:61" x14ac:dyDescent="0.35"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  <c r="AO221" s="25"/>
      <c r="AP221" s="25"/>
      <c r="AQ221" s="25"/>
      <c r="AR221" s="25"/>
      <c r="AS221" s="25"/>
      <c r="AT221" s="25"/>
      <c r="AU221" s="25"/>
      <c r="AV221" s="25"/>
      <c r="AW221" s="25"/>
      <c r="AX221" s="25"/>
      <c r="AY221" s="25"/>
      <c r="AZ221" s="25"/>
      <c r="BA221" s="25"/>
      <c r="BB221" s="25"/>
      <c r="BC221" s="25"/>
      <c r="BD221" s="25"/>
      <c r="BE221" s="25"/>
      <c r="BF221" s="25"/>
      <c r="BG221" s="25"/>
      <c r="BH221" s="25"/>
      <c r="BI221" s="25"/>
    </row>
    <row r="222" spans="2:61" x14ac:dyDescent="0.35"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  <c r="AO222" s="25"/>
      <c r="AP222" s="25"/>
      <c r="AQ222" s="25"/>
      <c r="AR222" s="25"/>
      <c r="AS222" s="25"/>
      <c r="AT222" s="25"/>
      <c r="AU222" s="25"/>
      <c r="AV222" s="25"/>
      <c r="AW222" s="25"/>
      <c r="AX222" s="25"/>
      <c r="AY222" s="25"/>
      <c r="AZ222" s="25"/>
      <c r="BA222" s="25"/>
      <c r="BB222" s="25"/>
      <c r="BC222" s="25"/>
      <c r="BD222" s="25"/>
      <c r="BE222" s="25"/>
      <c r="BF222" s="25"/>
      <c r="BG222" s="25"/>
      <c r="BH222" s="25"/>
      <c r="BI222" s="25"/>
    </row>
    <row r="223" spans="2:61" x14ac:dyDescent="0.35"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  <c r="AO223" s="25"/>
      <c r="AP223" s="25"/>
      <c r="AQ223" s="25"/>
      <c r="AR223" s="25"/>
      <c r="AS223" s="25"/>
      <c r="AT223" s="25"/>
      <c r="AU223" s="25"/>
      <c r="AV223" s="25"/>
      <c r="AW223" s="25"/>
      <c r="AX223" s="25"/>
      <c r="AY223" s="25"/>
      <c r="AZ223" s="25"/>
      <c r="BA223" s="25"/>
      <c r="BB223" s="25"/>
      <c r="BC223" s="25"/>
      <c r="BD223" s="25"/>
      <c r="BE223" s="25"/>
      <c r="BF223" s="25"/>
      <c r="BG223" s="25"/>
      <c r="BH223" s="25"/>
      <c r="BI223" s="25"/>
    </row>
    <row r="224" spans="2:61" x14ac:dyDescent="0.35"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  <c r="AO224" s="25"/>
      <c r="AP224" s="25"/>
      <c r="AQ224" s="25"/>
      <c r="AR224" s="25"/>
      <c r="AS224" s="25"/>
      <c r="AT224" s="25"/>
      <c r="AU224" s="25"/>
      <c r="AV224" s="25"/>
      <c r="AW224" s="25"/>
      <c r="AX224" s="25"/>
      <c r="AY224" s="25"/>
      <c r="AZ224" s="25"/>
      <c r="BA224" s="25"/>
      <c r="BB224" s="25"/>
      <c r="BC224" s="25"/>
      <c r="BD224" s="25"/>
      <c r="BE224" s="25"/>
      <c r="BF224" s="25"/>
      <c r="BG224" s="25"/>
      <c r="BH224" s="25"/>
      <c r="BI224" s="25"/>
    </row>
    <row r="225" spans="2:61" x14ac:dyDescent="0.35"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  <c r="AO225" s="25"/>
      <c r="AP225" s="25"/>
      <c r="AQ225" s="25"/>
      <c r="AR225" s="25"/>
      <c r="AS225" s="25"/>
      <c r="AT225" s="25"/>
      <c r="AU225" s="25"/>
      <c r="AV225" s="25"/>
      <c r="AW225" s="25"/>
      <c r="AX225" s="25"/>
      <c r="AY225" s="25"/>
      <c r="AZ225" s="25"/>
      <c r="BA225" s="25"/>
      <c r="BB225" s="25"/>
      <c r="BC225" s="25"/>
      <c r="BD225" s="25"/>
      <c r="BE225" s="25"/>
      <c r="BF225" s="25"/>
      <c r="BG225" s="25"/>
      <c r="BH225" s="25"/>
      <c r="BI225" s="25"/>
    </row>
    <row r="226" spans="2:61" x14ac:dyDescent="0.35"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  <c r="AO226" s="25"/>
      <c r="AP226" s="25"/>
      <c r="AQ226" s="25"/>
      <c r="AR226" s="25"/>
      <c r="AS226" s="25"/>
      <c r="AT226" s="25"/>
      <c r="AU226" s="25"/>
      <c r="AV226" s="25"/>
      <c r="AW226" s="25"/>
      <c r="AX226" s="25"/>
      <c r="AY226" s="25"/>
      <c r="AZ226" s="25"/>
      <c r="BA226" s="25"/>
      <c r="BB226" s="25"/>
      <c r="BC226" s="25"/>
      <c r="BD226" s="25"/>
      <c r="BE226" s="25"/>
      <c r="BF226" s="25"/>
      <c r="BG226" s="25"/>
      <c r="BH226" s="25"/>
      <c r="BI226" s="25"/>
    </row>
    <row r="227" spans="2:61" x14ac:dyDescent="0.35"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  <c r="AO227" s="25"/>
      <c r="AP227" s="25"/>
      <c r="AQ227" s="25"/>
      <c r="AR227" s="25"/>
      <c r="AS227" s="25"/>
      <c r="AT227" s="25"/>
      <c r="AU227" s="25"/>
      <c r="AV227" s="25"/>
      <c r="AW227" s="25"/>
      <c r="AX227" s="25"/>
      <c r="AY227" s="25"/>
      <c r="AZ227" s="25"/>
      <c r="BA227" s="25"/>
      <c r="BB227" s="25"/>
      <c r="BC227" s="25"/>
      <c r="BD227" s="25"/>
      <c r="BE227" s="25"/>
      <c r="BF227" s="25"/>
      <c r="BG227" s="25"/>
      <c r="BH227" s="25"/>
      <c r="BI227" s="25"/>
    </row>
    <row r="228" spans="2:61" x14ac:dyDescent="0.35"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  <c r="AO228" s="25"/>
      <c r="AP228" s="25"/>
      <c r="AQ228" s="25"/>
      <c r="AR228" s="25"/>
      <c r="AS228" s="25"/>
      <c r="AT228" s="25"/>
      <c r="AU228" s="25"/>
      <c r="AV228" s="25"/>
      <c r="AW228" s="25"/>
      <c r="AX228" s="25"/>
      <c r="AY228" s="25"/>
      <c r="AZ228" s="25"/>
      <c r="BA228" s="25"/>
      <c r="BB228" s="25"/>
      <c r="BC228" s="25"/>
      <c r="BD228" s="25"/>
      <c r="BE228" s="25"/>
      <c r="BF228" s="25"/>
      <c r="BG228" s="25"/>
      <c r="BH228" s="25"/>
      <c r="BI228" s="25"/>
    </row>
    <row r="229" spans="2:61" x14ac:dyDescent="0.35"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  <c r="AO229" s="25"/>
      <c r="AP229" s="25"/>
      <c r="AQ229" s="25"/>
      <c r="AR229" s="25"/>
      <c r="AS229" s="25"/>
      <c r="AT229" s="25"/>
      <c r="AU229" s="25"/>
      <c r="AV229" s="25"/>
      <c r="AW229" s="25"/>
      <c r="AX229" s="25"/>
      <c r="AY229" s="25"/>
      <c r="AZ229" s="25"/>
      <c r="BA229" s="25"/>
      <c r="BB229" s="25"/>
      <c r="BC229" s="25"/>
      <c r="BD229" s="25"/>
      <c r="BE229" s="25"/>
      <c r="BF229" s="25"/>
      <c r="BG229" s="25"/>
      <c r="BH229" s="25"/>
      <c r="BI229" s="25"/>
    </row>
    <row r="230" spans="2:61" x14ac:dyDescent="0.35"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  <c r="AO230" s="25"/>
      <c r="AP230" s="25"/>
      <c r="AQ230" s="25"/>
      <c r="AR230" s="25"/>
      <c r="AS230" s="25"/>
      <c r="AT230" s="25"/>
      <c r="AU230" s="25"/>
      <c r="AV230" s="25"/>
      <c r="AW230" s="25"/>
      <c r="AX230" s="25"/>
      <c r="AY230" s="25"/>
      <c r="AZ230" s="25"/>
      <c r="BA230" s="25"/>
      <c r="BB230" s="25"/>
      <c r="BC230" s="25"/>
      <c r="BD230" s="25"/>
      <c r="BE230" s="25"/>
      <c r="BF230" s="25"/>
      <c r="BG230" s="25"/>
      <c r="BH230" s="25"/>
      <c r="BI230" s="25"/>
    </row>
    <row r="231" spans="2:61" x14ac:dyDescent="0.35"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  <c r="AO231" s="25"/>
      <c r="AP231" s="25"/>
      <c r="AQ231" s="25"/>
      <c r="AR231" s="25"/>
      <c r="AS231" s="25"/>
      <c r="AT231" s="25"/>
      <c r="AU231" s="25"/>
      <c r="AV231" s="25"/>
      <c r="AW231" s="25"/>
      <c r="AX231" s="25"/>
      <c r="AY231" s="25"/>
      <c r="AZ231" s="25"/>
      <c r="BA231" s="25"/>
      <c r="BB231" s="25"/>
      <c r="BC231" s="25"/>
      <c r="BD231" s="25"/>
      <c r="BE231" s="25"/>
      <c r="BF231" s="25"/>
      <c r="BG231" s="25"/>
      <c r="BH231" s="25"/>
      <c r="BI231" s="25"/>
    </row>
    <row r="232" spans="2:61" x14ac:dyDescent="0.35"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  <c r="AO232" s="25"/>
      <c r="AP232" s="25"/>
      <c r="AQ232" s="25"/>
      <c r="AR232" s="25"/>
      <c r="AS232" s="25"/>
      <c r="AT232" s="25"/>
      <c r="AU232" s="25"/>
      <c r="AV232" s="25"/>
      <c r="AW232" s="25"/>
      <c r="AX232" s="25"/>
      <c r="AY232" s="25"/>
      <c r="AZ232" s="25"/>
      <c r="BA232" s="25"/>
      <c r="BB232" s="25"/>
      <c r="BC232" s="25"/>
      <c r="BD232" s="25"/>
      <c r="BE232" s="25"/>
      <c r="BF232" s="25"/>
      <c r="BG232" s="25"/>
      <c r="BH232" s="25"/>
      <c r="BI232" s="25"/>
    </row>
    <row r="233" spans="2:61" x14ac:dyDescent="0.35"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  <c r="AO233" s="25"/>
      <c r="AP233" s="25"/>
      <c r="AQ233" s="25"/>
      <c r="AR233" s="25"/>
      <c r="AS233" s="25"/>
      <c r="AT233" s="25"/>
      <c r="AU233" s="25"/>
      <c r="AV233" s="25"/>
      <c r="AW233" s="25"/>
      <c r="AX233" s="25"/>
      <c r="AY233" s="25"/>
      <c r="AZ233" s="25"/>
      <c r="BA233" s="25"/>
      <c r="BB233" s="25"/>
      <c r="BC233" s="25"/>
      <c r="BD233" s="25"/>
      <c r="BE233" s="25"/>
      <c r="BF233" s="25"/>
      <c r="BG233" s="25"/>
      <c r="BH233" s="25"/>
      <c r="BI233" s="25"/>
    </row>
    <row r="234" spans="2:61" x14ac:dyDescent="0.35"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  <c r="AO234" s="25"/>
      <c r="AP234" s="25"/>
      <c r="AQ234" s="25"/>
      <c r="AR234" s="25"/>
      <c r="AS234" s="25"/>
      <c r="AT234" s="25"/>
      <c r="AU234" s="25"/>
      <c r="AV234" s="25"/>
      <c r="AW234" s="25"/>
      <c r="AX234" s="25"/>
      <c r="AY234" s="25"/>
      <c r="AZ234" s="25"/>
      <c r="BA234" s="25"/>
      <c r="BB234" s="25"/>
      <c r="BC234" s="25"/>
      <c r="BD234" s="25"/>
      <c r="BE234" s="25"/>
      <c r="BF234" s="25"/>
      <c r="BG234" s="25"/>
      <c r="BH234" s="25"/>
      <c r="BI234" s="25"/>
    </row>
    <row r="235" spans="2:61" x14ac:dyDescent="0.35"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  <c r="AO235" s="25"/>
      <c r="AP235" s="25"/>
      <c r="AQ235" s="25"/>
      <c r="AR235" s="25"/>
      <c r="AS235" s="25"/>
      <c r="AT235" s="25"/>
      <c r="AU235" s="25"/>
      <c r="AV235" s="25"/>
      <c r="AW235" s="25"/>
      <c r="AX235" s="25"/>
      <c r="AY235" s="25"/>
      <c r="AZ235" s="25"/>
      <c r="BA235" s="25"/>
      <c r="BB235" s="25"/>
      <c r="BC235" s="25"/>
      <c r="BD235" s="25"/>
      <c r="BE235" s="25"/>
      <c r="BF235" s="25"/>
      <c r="BG235" s="25"/>
      <c r="BH235" s="25"/>
      <c r="BI235" s="25"/>
    </row>
    <row r="236" spans="2:61" x14ac:dyDescent="0.35"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  <c r="AO236" s="25"/>
      <c r="AP236" s="25"/>
      <c r="AQ236" s="25"/>
      <c r="AR236" s="25"/>
      <c r="AS236" s="25"/>
      <c r="AT236" s="25"/>
      <c r="AU236" s="25"/>
      <c r="AV236" s="25"/>
      <c r="AW236" s="25"/>
      <c r="AX236" s="25"/>
      <c r="AY236" s="25"/>
      <c r="AZ236" s="25"/>
      <c r="BA236" s="25"/>
      <c r="BB236" s="25"/>
      <c r="BC236" s="25"/>
      <c r="BD236" s="25"/>
      <c r="BE236" s="25"/>
      <c r="BF236" s="25"/>
      <c r="BG236" s="25"/>
      <c r="BH236" s="25"/>
      <c r="BI236" s="25"/>
    </row>
    <row r="237" spans="2:61" x14ac:dyDescent="0.35"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  <c r="AO237" s="25"/>
      <c r="AP237" s="25"/>
      <c r="AQ237" s="25"/>
      <c r="AR237" s="25"/>
      <c r="AS237" s="25"/>
      <c r="AT237" s="25"/>
      <c r="AU237" s="25"/>
      <c r="AV237" s="25"/>
      <c r="AW237" s="25"/>
      <c r="AX237" s="25"/>
      <c r="AY237" s="25"/>
      <c r="AZ237" s="25"/>
      <c r="BA237" s="25"/>
      <c r="BB237" s="25"/>
      <c r="BC237" s="25"/>
      <c r="BD237" s="25"/>
      <c r="BE237" s="25"/>
      <c r="BF237" s="25"/>
      <c r="BG237" s="25"/>
      <c r="BH237" s="25"/>
      <c r="BI237" s="25"/>
    </row>
    <row r="238" spans="2:61" x14ac:dyDescent="0.35"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  <c r="AO238" s="25"/>
      <c r="AP238" s="25"/>
      <c r="AQ238" s="25"/>
      <c r="AR238" s="25"/>
      <c r="AS238" s="25"/>
      <c r="AT238" s="25"/>
      <c r="AU238" s="25"/>
      <c r="AV238" s="25"/>
      <c r="AW238" s="25"/>
      <c r="AX238" s="25"/>
      <c r="AY238" s="25"/>
      <c r="AZ238" s="25"/>
      <c r="BA238" s="25"/>
      <c r="BB238" s="25"/>
      <c r="BC238" s="25"/>
      <c r="BD238" s="25"/>
      <c r="BE238" s="25"/>
      <c r="BF238" s="25"/>
      <c r="BG238" s="25"/>
      <c r="BH238" s="25"/>
      <c r="BI238" s="25"/>
    </row>
    <row r="239" spans="2:61" x14ac:dyDescent="0.35"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  <c r="AO239" s="25"/>
      <c r="AP239" s="25"/>
      <c r="AQ239" s="25"/>
      <c r="AR239" s="25"/>
      <c r="AS239" s="25"/>
      <c r="AT239" s="25"/>
      <c r="AU239" s="25"/>
      <c r="AV239" s="25"/>
      <c r="AW239" s="25"/>
      <c r="AX239" s="25"/>
      <c r="AY239" s="25"/>
      <c r="AZ239" s="25"/>
      <c r="BA239" s="25"/>
      <c r="BB239" s="25"/>
      <c r="BC239" s="25"/>
      <c r="BD239" s="25"/>
      <c r="BE239" s="25"/>
      <c r="BF239" s="25"/>
      <c r="BG239" s="25"/>
      <c r="BH239" s="25"/>
      <c r="BI239" s="25"/>
    </row>
    <row r="240" spans="2:61" x14ac:dyDescent="0.35"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  <c r="AO240" s="25"/>
      <c r="AP240" s="25"/>
      <c r="AQ240" s="25"/>
      <c r="AR240" s="25"/>
      <c r="AS240" s="25"/>
      <c r="AT240" s="25"/>
      <c r="AU240" s="25"/>
      <c r="AV240" s="25"/>
      <c r="AW240" s="25"/>
      <c r="AX240" s="25"/>
      <c r="AY240" s="25"/>
      <c r="AZ240" s="25"/>
      <c r="BA240" s="25"/>
      <c r="BB240" s="25"/>
      <c r="BC240" s="25"/>
      <c r="BD240" s="25"/>
      <c r="BE240" s="25"/>
      <c r="BF240" s="25"/>
      <c r="BG240" s="25"/>
      <c r="BH240" s="25"/>
      <c r="BI240" s="25"/>
    </row>
    <row r="241" spans="2:61" x14ac:dyDescent="0.35"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  <c r="AO241" s="25"/>
      <c r="AP241" s="25"/>
      <c r="AQ241" s="25"/>
      <c r="AR241" s="25"/>
      <c r="AS241" s="25"/>
      <c r="AT241" s="25"/>
      <c r="AU241" s="25"/>
      <c r="AV241" s="25"/>
      <c r="AW241" s="25"/>
      <c r="AX241" s="25"/>
      <c r="AY241" s="25"/>
      <c r="AZ241" s="25"/>
      <c r="BA241" s="25"/>
      <c r="BB241" s="25"/>
      <c r="BC241" s="25"/>
      <c r="BD241" s="25"/>
      <c r="BE241" s="25"/>
      <c r="BF241" s="25"/>
      <c r="BG241" s="25"/>
      <c r="BH241" s="25"/>
      <c r="BI241" s="25"/>
    </row>
    <row r="242" spans="2:61" x14ac:dyDescent="0.35"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  <c r="AO242" s="25"/>
      <c r="AP242" s="25"/>
      <c r="AQ242" s="25"/>
      <c r="AR242" s="25"/>
      <c r="AS242" s="25"/>
      <c r="AT242" s="25"/>
      <c r="AU242" s="25"/>
      <c r="AV242" s="25"/>
      <c r="AW242" s="25"/>
      <c r="AX242" s="25"/>
      <c r="AY242" s="25"/>
      <c r="AZ242" s="25"/>
      <c r="BA242" s="25"/>
      <c r="BB242" s="25"/>
      <c r="BC242" s="25"/>
      <c r="BD242" s="25"/>
      <c r="BE242" s="25"/>
      <c r="BF242" s="25"/>
      <c r="BG242" s="25"/>
      <c r="BH242" s="25"/>
      <c r="BI242" s="25"/>
    </row>
    <row r="243" spans="2:61" x14ac:dyDescent="0.35"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  <c r="AO243" s="25"/>
      <c r="AP243" s="25"/>
      <c r="AQ243" s="25"/>
      <c r="AR243" s="25"/>
      <c r="AS243" s="25"/>
      <c r="AT243" s="25"/>
      <c r="AU243" s="25"/>
      <c r="AV243" s="25"/>
      <c r="AW243" s="25"/>
      <c r="AX243" s="25"/>
      <c r="AY243" s="25"/>
      <c r="AZ243" s="25"/>
      <c r="BA243" s="25"/>
      <c r="BB243" s="25"/>
      <c r="BC243" s="25"/>
      <c r="BD243" s="25"/>
      <c r="BE243" s="25"/>
      <c r="BF243" s="25"/>
      <c r="BG243" s="25"/>
      <c r="BH243" s="25"/>
      <c r="BI243" s="25"/>
    </row>
    <row r="244" spans="2:61" x14ac:dyDescent="0.35"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  <c r="AO244" s="25"/>
      <c r="AP244" s="25"/>
      <c r="AQ244" s="25"/>
      <c r="AR244" s="25"/>
      <c r="AS244" s="25"/>
      <c r="AT244" s="25"/>
      <c r="AU244" s="25"/>
      <c r="AV244" s="25"/>
      <c r="AW244" s="25"/>
      <c r="AX244" s="25"/>
      <c r="AY244" s="25"/>
      <c r="AZ244" s="25"/>
      <c r="BA244" s="25"/>
      <c r="BB244" s="25"/>
      <c r="BC244" s="25"/>
      <c r="BD244" s="25"/>
      <c r="BE244" s="25"/>
      <c r="BF244" s="25"/>
      <c r="BG244" s="25"/>
      <c r="BH244" s="25"/>
      <c r="BI244" s="25"/>
    </row>
    <row r="245" spans="2:61" x14ac:dyDescent="0.35"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  <c r="AO245" s="25"/>
      <c r="AP245" s="25"/>
      <c r="AQ245" s="25"/>
      <c r="AR245" s="25"/>
      <c r="AS245" s="25"/>
      <c r="AT245" s="25"/>
      <c r="AU245" s="25"/>
      <c r="AV245" s="25"/>
      <c r="AW245" s="25"/>
      <c r="AX245" s="25"/>
      <c r="AY245" s="25"/>
      <c r="AZ245" s="25"/>
      <c r="BA245" s="25"/>
      <c r="BB245" s="25"/>
      <c r="BC245" s="25"/>
      <c r="BD245" s="25"/>
      <c r="BE245" s="25"/>
      <c r="BF245" s="25"/>
      <c r="BG245" s="25"/>
      <c r="BH245" s="25"/>
      <c r="BI245" s="25"/>
    </row>
    <row r="246" spans="2:61" x14ac:dyDescent="0.35"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  <c r="AO246" s="25"/>
      <c r="AP246" s="25"/>
      <c r="AQ246" s="25"/>
      <c r="AR246" s="25"/>
      <c r="AS246" s="25"/>
      <c r="AT246" s="25"/>
      <c r="AU246" s="25"/>
      <c r="AV246" s="25"/>
      <c r="AW246" s="25"/>
      <c r="AX246" s="25"/>
      <c r="AY246" s="25"/>
      <c r="AZ246" s="25"/>
      <c r="BA246" s="25"/>
      <c r="BB246" s="25"/>
      <c r="BC246" s="25"/>
      <c r="BD246" s="25"/>
      <c r="BE246" s="25"/>
      <c r="BF246" s="25"/>
      <c r="BG246" s="25"/>
      <c r="BH246" s="25"/>
      <c r="BI246" s="25"/>
    </row>
    <row r="247" spans="2:61" x14ac:dyDescent="0.35"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  <c r="AO247" s="25"/>
      <c r="AP247" s="25"/>
      <c r="AQ247" s="25"/>
      <c r="AR247" s="25"/>
      <c r="AS247" s="25"/>
      <c r="AT247" s="25"/>
      <c r="AU247" s="25"/>
      <c r="AV247" s="25"/>
      <c r="AW247" s="25"/>
      <c r="AX247" s="25"/>
      <c r="AY247" s="25"/>
      <c r="AZ247" s="25"/>
      <c r="BA247" s="25"/>
      <c r="BB247" s="25"/>
      <c r="BC247" s="25"/>
      <c r="BD247" s="25"/>
      <c r="BE247" s="25"/>
      <c r="BF247" s="25"/>
      <c r="BG247" s="25"/>
      <c r="BH247" s="25"/>
      <c r="BI247" s="25"/>
    </row>
    <row r="248" spans="2:61" x14ac:dyDescent="0.35"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  <c r="AO248" s="25"/>
      <c r="AP248" s="25"/>
      <c r="AQ248" s="25"/>
      <c r="AR248" s="25"/>
      <c r="AS248" s="25"/>
      <c r="AT248" s="25"/>
      <c r="AU248" s="25"/>
      <c r="AV248" s="25"/>
      <c r="AW248" s="25"/>
      <c r="AX248" s="25"/>
      <c r="AY248" s="25"/>
      <c r="AZ248" s="25"/>
      <c r="BA248" s="25"/>
      <c r="BB248" s="25"/>
      <c r="BC248" s="25"/>
      <c r="BD248" s="25"/>
      <c r="BE248" s="25"/>
      <c r="BF248" s="25"/>
      <c r="BG248" s="25"/>
      <c r="BH248" s="25"/>
      <c r="BI248" s="25"/>
    </row>
    <row r="249" spans="2:61" x14ac:dyDescent="0.35"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  <c r="AO249" s="25"/>
      <c r="AP249" s="25"/>
      <c r="AQ249" s="25"/>
      <c r="AR249" s="25"/>
      <c r="AS249" s="25"/>
      <c r="AT249" s="25"/>
      <c r="AU249" s="25"/>
      <c r="AV249" s="25"/>
      <c r="AW249" s="25"/>
      <c r="AX249" s="25"/>
      <c r="AY249" s="25"/>
      <c r="AZ249" s="25"/>
      <c r="BA249" s="25"/>
      <c r="BB249" s="25"/>
      <c r="BC249" s="25"/>
      <c r="BD249" s="25"/>
      <c r="BE249" s="25"/>
      <c r="BF249" s="25"/>
      <c r="BG249" s="25"/>
      <c r="BH249" s="25"/>
      <c r="BI249" s="25"/>
    </row>
    <row r="250" spans="2:61" x14ac:dyDescent="0.35"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  <c r="AO250" s="25"/>
      <c r="AP250" s="25"/>
      <c r="AQ250" s="25"/>
      <c r="AR250" s="25"/>
      <c r="AS250" s="25"/>
      <c r="AT250" s="25"/>
      <c r="AU250" s="25"/>
      <c r="AV250" s="25"/>
      <c r="AW250" s="25"/>
      <c r="AX250" s="25"/>
      <c r="AY250" s="25"/>
      <c r="AZ250" s="25"/>
      <c r="BA250" s="25"/>
      <c r="BB250" s="25"/>
      <c r="BC250" s="25"/>
      <c r="BD250" s="25"/>
      <c r="BE250" s="25"/>
      <c r="BF250" s="25"/>
      <c r="BG250" s="25"/>
      <c r="BH250" s="25"/>
      <c r="BI250" s="25"/>
    </row>
    <row r="251" spans="2:61" x14ac:dyDescent="0.35"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  <c r="AO251" s="25"/>
      <c r="AP251" s="25"/>
      <c r="AQ251" s="25"/>
      <c r="AR251" s="25"/>
      <c r="AS251" s="25"/>
      <c r="AT251" s="25"/>
      <c r="AU251" s="25"/>
      <c r="AV251" s="25"/>
      <c r="AW251" s="25"/>
      <c r="AX251" s="25"/>
      <c r="AY251" s="25"/>
      <c r="AZ251" s="25"/>
      <c r="BA251" s="25"/>
      <c r="BB251" s="25"/>
      <c r="BC251" s="25"/>
      <c r="BD251" s="25"/>
      <c r="BE251" s="25"/>
      <c r="BF251" s="25"/>
      <c r="BG251" s="25"/>
      <c r="BH251" s="25"/>
      <c r="BI251" s="25"/>
    </row>
    <row r="252" spans="2:61" x14ac:dyDescent="0.35"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  <c r="AO252" s="25"/>
      <c r="AP252" s="25"/>
      <c r="AQ252" s="25"/>
      <c r="AR252" s="25"/>
      <c r="AS252" s="25"/>
      <c r="AT252" s="25"/>
      <c r="AU252" s="25"/>
      <c r="AV252" s="25"/>
      <c r="AW252" s="25"/>
      <c r="AX252" s="25"/>
      <c r="AY252" s="25"/>
      <c r="AZ252" s="25"/>
      <c r="BA252" s="25"/>
      <c r="BB252" s="25"/>
      <c r="BC252" s="25"/>
      <c r="BD252" s="25"/>
      <c r="BE252" s="25"/>
      <c r="BF252" s="25"/>
      <c r="BG252" s="25"/>
      <c r="BH252" s="25"/>
      <c r="BI252" s="25"/>
    </row>
    <row r="253" spans="2:61" x14ac:dyDescent="0.35"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  <c r="AO253" s="25"/>
      <c r="AP253" s="25"/>
      <c r="AQ253" s="25"/>
      <c r="AR253" s="25"/>
      <c r="AS253" s="25"/>
      <c r="AT253" s="25"/>
      <c r="AU253" s="25"/>
      <c r="AV253" s="25"/>
      <c r="AW253" s="25"/>
      <c r="AX253" s="25"/>
      <c r="AY253" s="25"/>
      <c r="AZ253" s="25"/>
      <c r="BA253" s="25"/>
      <c r="BB253" s="25"/>
      <c r="BC253" s="25"/>
      <c r="BD253" s="25"/>
      <c r="BE253" s="25"/>
      <c r="BF253" s="25"/>
      <c r="BG253" s="25"/>
      <c r="BH253" s="25"/>
      <c r="BI253" s="25"/>
    </row>
    <row r="254" spans="2:61" x14ac:dyDescent="0.35"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  <c r="AO254" s="25"/>
      <c r="AP254" s="25"/>
      <c r="AQ254" s="25"/>
      <c r="AR254" s="25"/>
      <c r="AS254" s="25"/>
      <c r="AT254" s="25"/>
      <c r="AU254" s="25"/>
      <c r="AV254" s="25"/>
      <c r="AW254" s="25"/>
      <c r="AX254" s="25"/>
      <c r="AY254" s="25"/>
      <c r="AZ254" s="25"/>
      <c r="BA254" s="25"/>
      <c r="BB254" s="25"/>
      <c r="BC254" s="25"/>
      <c r="BD254" s="25"/>
      <c r="BE254" s="25"/>
      <c r="BF254" s="25"/>
      <c r="BG254" s="25"/>
      <c r="BH254" s="25"/>
      <c r="BI254" s="25"/>
    </row>
    <row r="255" spans="2:61" x14ac:dyDescent="0.35"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  <c r="AO255" s="25"/>
      <c r="AP255" s="25"/>
      <c r="AQ255" s="25"/>
      <c r="AR255" s="25"/>
      <c r="AS255" s="25"/>
      <c r="AT255" s="25"/>
      <c r="AU255" s="25"/>
      <c r="AV255" s="25"/>
      <c r="AW255" s="25"/>
      <c r="AX255" s="25"/>
      <c r="AY255" s="25"/>
      <c r="AZ255" s="25"/>
      <c r="BA255" s="25"/>
      <c r="BB255" s="25"/>
      <c r="BC255" s="25"/>
      <c r="BD255" s="25"/>
      <c r="BE255" s="25"/>
      <c r="BF255" s="25"/>
      <c r="BG255" s="25"/>
      <c r="BH255" s="25"/>
      <c r="BI255" s="25"/>
    </row>
    <row r="256" spans="2:61" x14ac:dyDescent="0.35"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  <c r="AO256" s="25"/>
      <c r="AP256" s="25"/>
      <c r="AQ256" s="25"/>
      <c r="AR256" s="25"/>
      <c r="AS256" s="25"/>
      <c r="AT256" s="25"/>
      <c r="AU256" s="25"/>
      <c r="AV256" s="25"/>
      <c r="AW256" s="25"/>
      <c r="AX256" s="25"/>
      <c r="AY256" s="25"/>
      <c r="AZ256" s="25"/>
      <c r="BA256" s="25"/>
      <c r="BB256" s="25"/>
      <c r="BC256" s="25"/>
      <c r="BD256" s="25"/>
      <c r="BE256" s="25"/>
      <c r="BF256" s="25"/>
      <c r="BG256" s="25"/>
      <c r="BH256" s="25"/>
      <c r="BI256" s="25"/>
    </row>
    <row r="257" spans="2:61" x14ac:dyDescent="0.35"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  <c r="AO257" s="25"/>
      <c r="AP257" s="25"/>
      <c r="AQ257" s="25"/>
      <c r="AR257" s="25"/>
      <c r="AS257" s="25"/>
      <c r="AT257" s="25"/>
      <c r="AU257" s="25"/>
      <c r="AV257" s="25"/>
      <c r="AW257" s="25"/>
      <c r="AX257" s="25"/>
      <c r="AY257" s="25"/>
      <c r="AZ257" s="25"/>
      <c r="BA257" s="25"/>
      <c r="BB257" s="25"/>
      <c r="BC257" s="25"/>
      <c r="BD257" s="25"/>
      <c r="BE257" s="25"/>
      <c r="BF257" s="25"/>
      <c r="BG257" s="25"/>
      <c r="BH257" s="25"/>
      <c r="BI257" s="25"/>
    </row>
    <row r="258" spans="2:61" x14ac:dyDescent="0.35"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  <c r="AO258" s="25"/>
      <c r="AP258" s="25"/>
      <c r="AQ258" s="25"/>
      <c r="AR258" s="25"/>
      <c r="AS258" s="25"/>
      <c r="AT258" s="25"/>
      <c r="AU258" s="25"/>
      <c r="AV258" s="25"/>
      <c r="AW258" s="25"/>
      <c r="AX258" s="25"/>
      <c r="AY258" s="25"/>
      <c r="AZ258" s="25"/>
      <c r="BA258" s="25"/>
      <c r="BB258" s="25"/>
      <c r="BC258" s="25"/>
      <c r="BD258" s="25"/>
      <c r="BE258" s="25"/>
      <c r="BF258" s="25"/>
      <c r="BG258" s="25"/>
      <c r="BH258" s="25"/>
      <c r="BI258" s="25"/>
    </row>
    <row r="259" spans="2:61" x14ac:dyDescent="0.35"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  <c r="AO259" s="25"/>
      <c r="AP259" s="25"/>
      <c r="AQ259" s="25"/>
      <c r="AR259" s="25"/>
      <c r="AS259" s="25"/>
      <c r="AT259" s="25"/>
      <c r="AU259" s="25"/>
      <c r="AV259" s="25"/>
      <c r="AW259" s="25"/>
      <c r="AX259" s="25"/>
      <c r="AY259" s="25"/>
      <c r="AZ259" s="25"/>
      <c r="BA259" s="25"/>
      <c r="BB259" s="25"/>
      <c r="BC259" s="25"/>
      <c r="BD259" s="25"/>
      <c r="BE259" s="25"/>
      <c r="BF259" s="25"/>
      <c r="BG259" s="25"/>
      <c r="BH259" s="25"/>
      <c r="BI259" s="25"/>
    </row>
    <row r="260" spans="2:61" x14ac:dyDescent="0.35"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  <c r="AO260" s="25"/>
      <c r="AP260" s="25"/>
      <c r="AQ260" s="25"/>
      <c r="AR260" s="25"/>
      <c r="AS260" s="25"/>
      <c r="AT260" s="25"/>
      <c r="AU260" s="25"/>
      <c r="AV260" s="25"/>
      <c r="AW260" s="25"/>
      <c r="AX260" s="25"/>
      <c r="AY260" s="25"/>
      <c r="AZ260" s="25"/>
      <c r="BA260" s="25"/>
      <c r="BB260" s="25"/>
      <c r="BC260" s="25"/>
      <c r="BD260" s="25"/>
      <c r="BE260" s="25"/>
      <c r="BF260" s="25"/>
      <c r="BG260" s="25"/>
      <c r="BH260" s="25"/>
      <c r="BI260" s="25"/>
    </row>
    <row r="261" spans="2:61" x14ac:dyDescent="0.35"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  <c r="AO261" s="25"/>
      <c r="AP261" s="25"/>
      <c r="AQ261" s="25"/>
      <c r="AR261" s="25"/>
      <c r="AS261" s="25"/>
      <c r="AT261" s="25"/>
      <c r="AU261" s="25"/>
      <c r="AV261" s="25"/>
      <c r="AW261" s="25"/>
      <c r="AX261" s="25"/>
      <c r="AY261" s="25"/>
      <c r="AZ261" s="25"/>
      <c r="BA261" s="25"/>
      <c r="BB261" s="25"/>
      <c r="BC261" s="25"/>
      <c r="BD261" s="25"/>
      <c r="BE261" s="25"/>
      <c r="BF261" s="25"/>
      <c r="BG261" s="25"/>
      <c r="BH261" s="25"/>
      <c r="BI261" s="25"/>
    </row>
    <row r="262" spans="2:61" x14ac:dyDescent="0.35"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  <c r="AO262" s="25"/>
      <c r="AP262" s="25"/>
      <c r="AQ262" s="25"/>
      <c r="AR262" s="25"/>
      <c r="AS262" s="25"/>
      <c r="AT262" s="25"/>
      <c r="AU262" s="25"/>
      <c r="AV262" s="25"/>
      <c r="AW262" s="25"/>
      <c r="AX262" s="25"/>
      <c r="AY262" s="25"/>
      <c r="AZ262" s="25"/>
      <c r="BA262" s="25"/>
      <c r="BB262" s="25"/>
      <c r="BC262" s="25"/>
      <c r="BD262" s="25"/>
      <c r="BE262" s="25"/>
      <c r="BF262" s="25"/>
      <c r="BG262" s="25"/>
      <c r="BH262" s="25"/>
      <c r="BI262" s="25"/>
    </row>
    <row r="263" spans="2:61" x14ac:dyDescent="0.35"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  <c r="AO263" s="25"/>
      <c r="AP263" s="25"/>
      <c r="AQ263" s="25"/>
      <c r="AR263" s="25"/>
      <c r="AS263" s="25"/>
      <c r="AT263" s="25"/>
      <c r="AU263" s="25"/>
      <c r="AV263" s="25"/>
      <c r="AW263" s="25"/>
      <c r="AX263" s="25"/>
      <c r="AY263" s="25"/>
      <c r="AZ263" s="25"/>
      <c r="BA263" s="25"/>
      <c r="BB263" s="25"/>
      <c r="BC263" s="25"/>
      <c r="BD263" s="25"/>
      <c r="BE263" s="25"/>
      <c r="BF263" s="25"/>
      <c r="BG263" s="25"/>
      <c r="BH263" s="25"/>
      <c r="BI263" s="25"/>
    </row>
    <row r="264" spans="2:61" x14ac:dyDescent="0.35"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  <c r="AO264" s="25"/>
      <c r="AP264" s="25"/>
      <c r="AQ264" s="25"/>
      <c r="AR264" s="25"/>
      <c r="AS264" s="25"/>
      <c r="AT264" s="25"/>
      <c r="AU264" s="25"/>
      <c r="AV264" s="25"/>
      <c r="AW264" s="25"/>
      <c r="AX264" s="25"/>
      <c r="AY264" s="25"/>
      <c r="AZ264" s="25"/>
      <c r="BA264" s="25"/>
      <c r="BB264" s="25"/>
      <c r="BC264" s="25"/>
      <c r="BD264" s="25"/>
      <c r="BE264" s="25"/>
      <c r="BF264" s="25"/>
      <c r="BG264" s="25"/>
      <c r="BH264" s="25"/>
      <c r="BI264" s="25"/>
    </row>
    <row r="265" spans="2:61" x14ac:dyDescent="0.35"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  <c r="AO265" s="25"/>
      <c r="AP265" s="25"/>
      <c r="AQ265" s="25"/>
      <c r="AR265" s="25"/>
      <c r="AS265" s="25"/>
      <c r="AT265" s="25"/>
      <c r="AU265" s="25"/>
      <c r="AV265" s="25"/>
      <c r="AW265" s="25"/>
      <c r="AX265" s="25"/>
      <c r="AY265" s="25"/>
      <c r="AZ265" s="25"/>
      <c r="BA265" s="25"/>
      <c r="BB265" s="25"/>
      <c r="BC265" s="25"/>
      <c r="BD265" s="25"/>
      <c r="BE265" s="25"/>
      <c r="BF265" s="25"/>
      <c r="BG265" s="25"/>
      <c r="BH265" s="25"/>
      <c r="BI265" s="25"/>
    </row>
    <row r="266" spans="2:61" x14ac:dyDescent="0.35"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  <c r="AO266" s="25"/>
      <c r="AP266" s="25"/>
      <c r="AQ266" s="25"/>
      <c r="AR266" s="25"/>
      <c r="AS266" s="25"/>
      <c r="AT266" s="25"/>
      <c r="AU266" s="25"/>
      <c r="AV266" s="25"/>
      <c r="AW266" s="25"/>
      <c r="AX266" s="25"/>
      <c r="AY266" s="25"/>
      <c r="AZ266" s="25"/>
      <c r="BA266" s="25"/>
      <c r="BB266" s="25"/>
      <c r="BC266" s="25"/>
      <c r="BD266" s="25"/>
      <c r="BE266" s="25"/>
      <c r="BF266" s="25"/>
      <c r="BG266" s="25"/>
      <c r="BH266" s="25"/>
      <c r="BI266" s="25"/>
    </row>
    <row r="267" spans="2:61" x14ac:dyDescent="0.35"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5"/>
      <c r="AU267" s="25"/>
      <c r="AV267" s="25"/>
      <c r="AW267" s="25"/>
      <c r="AX267" s="25"/>
      <c r="AY267" s="25"/>
      <c r="AZ267" s="25"/>
      <c r="BA267" s="25"/>
      <c r="BB267" s="25"/>
      <c r="BC267" s="25"/>
      <c r="BD267" s="25"/>
      <c r="BE267" s="25"/>
      <c r="BF267" s="25"/>
      <c r="BG267" s="25"/>
      <c r="BH267" s="25"/>
      <c r="BI267" s="25"/>
    </row>
    <row r="268" spans="2:61" x14ac:dyDescent="0.35"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  <c r="AO268" s="25"/>
      <c r="AP268" s="25"/>
      <c r="AQ268" s="25"/>
      <c r="AR268" s="25"/>
      <c r="AS268" s="25"/>
      <c r="AT268" s="25"/>
      <c r="AU268" s="25"/>
      <c r="AV268" s="25"/>
      <c r="AW268" s="25"/>
      <c r="AX268" s="25"/>
      <c r="AY268" s="25"/>
      <c r="AZ268" s="25"/>
      <c r="BA268" s="25"/>
      <c r="BB268" s="25"/>
      <c r="BC268" s="25"/>
      <c r="BD268" s="25"/>
      <c r="BE268" s="25"/>
      <c r="BF268" s="25"/>
      <c r="BG268" s="25"/>
      <c r="BH268" s="25"/>
      <c r="BI268" s="25"/>
    </row>
    <row r="269" spans="2:61" x14ac:dyDescent="0.35"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5"/>
      <c r="AU269" s="25"/>
      <c r="AV269" s="25"/>
      <c r="AW269" s="25"/>
      <c r="AX269" s="25"/>
      <c r="AY269" s="25"/>
      <c r="AZ269" s="25"/>
      <c r="BA269" s="25"/>
      <c r="BB269" s="25"/>
      <c r="BC269" s="25"/>
      <c r="BD269" s="25"/>
      <c r="BE269" s="25"/>
      <c r="BF269" s="25"/>
      <c r="BG269" s="25"/>
      <c r="BH269" s="25"/>
      <c r="BI269" s="25"/>
    </row>
    <row r="270" spans="2:61" x14ac:dyDescent="0.35"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  <c r="AO270" s="25"/>
      <c r="AP270" s="25"/>
      <c r="AQ270" s="25"/>
      <c r="AR270" s="25"/>
      <c r="AS270" s="25"/>
      <c r="AT270" s="25"/>
      <c r="AU270" s="25"/>
      <c r="AV270" s="25"/>
      <c r="AW270" s="25"/>
      <c r="AX270" s="25"/>
      <c r="AY270" s="25"/>
      <c r="AZ270" s="25"/>
      <c r="BA270" s="25"/>
      <c r="BB270" s="25"/>
      <c r="BC270" s="25"/>
      <c r="BD270" s="25"/>
      <c r="BE270" s="25"/>
      <c r="BF270" s="25"/>
      <c r="BG270" s="25"/>
      <c r="BH270" s="25"/>
      <c r="BI270" s="25"/>
    </row>
    <row r="271" spans="2:61" x14ac:dyDescent="0.35"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5"/>
      <c r="AU271" s="25"/>
      <c r="AV271" s="25"/>
      <c r="AW271" s="25"/>
      <c r="AX271" s="25"/>
      <c r="AY271" s="25"/>
      <c r="AZ271" s="25"/>
      <c r="BA271" s="25"/>
      <c r="BB271" s="25"/>
      <c r="BC271" s="25"/>
      <c r="BD271" s="25"/>
      <c r="BE271" s="25"/>
      <c r="BF271" s="25"/>
      <c r="BG271" s="25"/>
      <c r="BH271" s="25"/>
      <c r="BI271" s="25"/>
    </row>
    <row r="272" spans="2:61" x14ac:dyDescent="0.35"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  <c r="AO272" s="25"/>
      <c r="AP272" s="25"/>
      <c r="AQ272" s="25"/>
      <c r="AR272" s="25"/>
      <c r="AS272" s="25"/>
      <c r="AT272" s="25"/>
      <c r="AU272" s="25"/>
      <c r="AV272" s="25"/>
      <c r="AW272" s="25"/>
      <c r="AX272" s="25"/>
      <c r="AY272" s="25"/>
      <c r="AZ272" s="25"/>
      <c r="BA272" s="25"/>
      <c r="BB272" s="25"/>
      <c r="BC272" s="25"/>
      <c r="BD272" s="25"/>
      <c r="BE272" s="25"/>
      <c r="BF272" s="25"/>
      <c r="BG272" s="25"/>
      <c r="BH272" s="25"/>
      <c r="BI272" s="25"/>
    </row>
    <row r="273" spans="2:61" x14ac:dyDescent="0.35"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  <c r="AO273" s="25"/>
      <c r="AP273" s="25"/>
      <c r="AQ273" s="25"/>
      <c r="AR273" s="25"/>
      <c r="AS273" s="25"/>
      <c r="AT273" s="25"/>
      <c r="AU273" s="25"/>
      <c r="AV273" s="25"/>
      <c r="AW273" s="25"/>
      <c r="AX273" s="25"/>
      <c r="AY273" s="25"/>
      <c r="AZ273" s="25"/>
      <c r="BA273" s="25"/>
      <c r="BB273" s="25"/>
      <c r="BC273" s="25"/>
      <c r="BD273" s="25"/>
      <c r="BE273" s="25"/>
      <c r="BF273" s="25"/>
      <c r="BG273" s="25"/>
      <c r="BH273" s="25"/>
      <c r="BI273" s="25"/>
    </row>
    <row r="274" spans="2:61" x14ac:dyDescent="0.35"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  <c r="AO274" s="25"/>
      <c r="AP274" s="25"/>
      <c r="AQ274" s="25"/>
      <c r="AR274" s="25"/>
      <c r="AS274" s="25"/>
      <c r="AT274" s="25"/>
      <c r="AU274" s="25"/>
      <c r="AV274" s="25"/>
      <c r="AW274" s="25"/>
      <c r="AX274" s="25"/>
      <c r="AY274" s="25"/>
      <c r="AZ274" s="25"/>
      <c r="BA274" s="25"/>
      <c r="BB274" s="25"/>
      <c r="BC274" s="25"/>
      <c r="BD274" s="25"/>
      <c r="BE274" s="25"/>
      <c r="BF274" s="25"/>
      <c r="BG274" s="25"/>
      <c r="BH274" s="25"/>
      <c r="BI274" s="25"/>
    </row>
    <row r="275" spans="2:61" x14ac:dyDescent="0.35"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  <c r="AO275" s="25"/>
      <c r="AP275" s="25"/>
      <c r="AQ275" s="25"/>
      <c r="AR275" s="25"/>
      <c r="AS275" s="25"/>
      <c r="AT275" s="25"/>
      <c r="AU275" s="25"/>
      <c r="AV275" s="25"/>
      <c r="AW275" s="25"/>
      <c r="AX275" s="25"/>
      <c r="AY275" s="25"/>
      <c r="AZ275" s="25"/>
      <c r="BA275" s="25"/>
      <c r="BB275" s="25"/>
      <c r="BC275" s="25"/>
      <c r="BD275" s="25"/>
      <c r="BE275" s="25"/>
      <c r="BF275" s="25"/>
      <c r="BG275" s="25"/>
      <c r="BH275" s="25"/>
      <c r="BI275" s="25"/>
    </row>
    <row r="276" spans="2:61" x14ac:dyDescent="0.35"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  <c r="AO276" s="25"/>
      <c r="AP276" s="25"/>
      <c r="AQ276" s="25"/>
      <c r="AR276" s="25"/>
      <c r="AS276" s="25"/>
      <c r="AT276" s="25"/>
      <c r="AU276" s="25"/>
      <c r="AV276" s="25"/>
      <c r="AW276" s="25"/>
      <c r="AX276" s="25"/>
      <c r="AY276" s="25"/>
      <c r="AZ276" s="25"/>
      <c r="BA276" s="25"/>
      <c r="BB276" s="25"/>
      <c r="BC276" s="25"/>
      <c r="BD276" s="25"/>
      <c r="BE276" s="25"/>
      <c r="BF276" s="25"/>
      <c r="BG276" s="25"/>
      <c r="BH276" s="25"/>
      <c r="BI276" s="25"/>
    </row>
    <row r="277" spans="2:61" x14ac:dyDescent="0.35"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  <c r="AO277" s="25"/>
      <c r="AP277" s="25"/>
      <c r="AQ277" s="25"/>
      <c r="AR277" s="25"/>
      <c r="AS277" s="25"/>
      <c r="AT277" s="25"/>
      <c r="AU277" s="25"/>
      <c r="AV277" s="25"/>
      <c r="AW277" s="25"/>
      <c r="AX277" s="25"/>
      <c r="AY277" s="25"/>
      <c r="AZ277" s="25"/>
      <c r="BA277" s="25"/>
      <c r="BB277" s="25"/>
      <c r="BC277" s="25"/>
      <c r="BD277" s="25"/>
      <c r="BE277" s="25"/>
      <c r="BF277" s="25"/>
      <c r="BG277" s="25"/>
      <c r="BH277" s="25"/>
      <c r="BI277" s="25"/>
    </row>
    <row r="278" spans="2:61" x14ac:dyDescent="0.35"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  <c r="AO278" s="25"/>
      <c r="AP278" s="25"/>
      <c r="AQ278" s="25"/>
      <c r="AR278" s="25"/>
      <c r="AS278" s="25"/>
      <c r="AT278" s="25"/>
      <c r="AU278" s="25"/>
      <c r="AV278" s="25"/>
      <c r="AW278" s="25"/>
      <c r="AX278" s="25"/>
      <c r="AY278" s="25"/>
      <c r="AZ278" s="25"/>
      <c r="BA278" s="25"/>
      <c r="BB278" s="25"/>
      <c r="BC278" s="25"/>
      <c r="BD278" s="25"/>
      <c r="BE278" s="25"/>
      <c r="BF278" s="25"/>
      <c r="BG278" s="25"/>
      <c r="BH278" s="25"/>
      <c r="BI278" s="25"/>
    </row>
    <row r="279" spans="2:61" x14ac:dyDescent="0.35"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  <c r="AO279" s="25"/>
      <c r="AP279" s="25"/>
      <c r="AQ279" s="25"/>
      <c r="AR279" s="25"/>
      <c r="AS279" s="25"/>
      <c r="AT279" s="25"/>
      <c r="AU279" s="25"/>
      <c r="AV279" s="25"/>
      <c r="AW279" s="25"/>
      <c r="AX279" s="25"/>
      <c r="AY279" s="25"/>
      <c r="AZ279" s="25"/>
      <c r="BA279" s="25"/>
      <c r="BB279" s="25"/>
      <c r="BC279" s="25"/>
      <c r="BD279" s="25"/>
      <c r="BE279" s="25"/>
      <c r="BF279" s="25"/>
      <c r="BG279" s="25"/>
      <c r="BH279" s="25"/>
      <c r="BI279" s="25"/>
    </row>
    <row r="280" spans="2:61" x14ac:dyDescent="0.35"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  <c r="AO280" s="25"/>
      <c r="AP280" s="25"/>
      <c r="AQ280" s="25"/>
      <c r="AR280" s="25"/>
      <c r="AS280" s="25"/>
      <c r="AT280" s="25"/>
      <c r="AU280" s="25"/>
      <c r="AV280" s="25"/>
      <c r="AW280" s="25"/>
      <c r="AX280" s="25"/>
      <c r="AY280" s="25"/>
      <c r="AZ280" s="25"/>
      <c r="BA280" s="25"/>
      <c r="BB280" s="25"/>
      <c r="BC280" s="25"/>
      <c r="BD280" s="25"/>
      <c r="BE280" s="25"/>
      <c r="BF280" s="25"/>
      <c r="BG280" s="25"/>
      <c r="BH280" s="25"/>
      <c r="BI280" s="25"/>
    </row>
    <row r="281" spans="2:61" x14ac:dyDescent="0.35"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  <c r="AO281" s="25"/>
      <c r="AP281" s="25"/>
      <c r="AQ281" s="25"/>
      <c r="AR281" s="25"/>
      <c r="AS281" s="25"/>
      <c r="AT281" s="25"/>
      <c r="AU281" s="25"/>
      <c r="AV281" s="25"/>
      <c r="AW281" s="25"/>
      <c r="AX281" s="25"/>
      <c r="AY281" s="25"/>
      <c r="AZ281" s="25"/>
      <c r="BA281" s="25"/>
      <c r="BB281" s="25"/>
      <c r="BC281" s="25"/>
      <c r="BD281" s="25"/>
      <c r="BE281" s="25"/>
      <c r="BF281" s="25"/>
      <c r="BG281" s="25"/>
      <c r="BH281" s="25"/>
      <c r="BI281" s="25"/>
    </row>
    <row r="282" spans="2:61" x14ac:dyDescent="0.35"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  <c r="AO282" s="25"/>
      <c r="AP282" s="25"/>
      <c r="AQ282" s="25"/>
      <c r="AR282" s="25"/>
      <c r="AS282" s="25"/>
      <c r="AT282" s="25"/>
      <c r="AU282" s="25"/>
      <c r="AV282" s="25"/>
      <c r="AW282" s="25"/>
      <c r="AX282" s="25"/>
      <c r="AY282" s="25"/>
      <c r="AZ282" s="25"/>
      <c r="BA282" s="25"/>
      <c r="BB282" s="25"/>
      <c r="BC282" s="25"/>
      <c r="BD282" s="25"/>
      <c r="BE282" s="25"/>
      <c r="BF282" s="25"/>
      <c r="BG282" s="25"/>
      <c r="BH282" s="25"/>
      <c r="BI282" s="25"/>
    </row>
    <row r="283" spans="2:61" x14ac:dyDescent="0.35"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  <c r="AO283" s="25"/>
      <c r="AP283" s="25"/>
      <c r="AQ283" s="25"/>
      <c r="AR283" s="25"/>
      <c r="AS283" s="25"/>
      <c r="AT283" s="25"/>
      <c r="AU283" s="25"/>
      <c r="AV283" s="25"/>
      <c r="AW283" s="25"/>
      <c r="AX283" s="25"/>
      <c r="AY283" s="25"/>
      <c r="AZ283" s="25"/>
      <c r="BA283" s="25"/>
      <c r="BB283" s="25"/>
      <c r="BC283" s="25"/>
      <c r="BD283" s="25"/>
      <c r="BE283" s="25"/>
      <c r="BF283" s="25"/>
      <c r="BG283" s="25"/>
      <c r="BH283" s="25"/>
      <c r="BI283" s="25"/>
    </row>
    <row r="284" spans="2:61" x14ac:dyDescent="0.35"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  <c r="AO284" s="25"/>
      <c r="AP284" s="25"/>
      <c r="AQ284" s="25"/>
      <c r="AR284" s="25"/>
      <c r="AS284" s="25"/>
      <c r="AT284" s="25"/>
      <c r="AU284" s="25"/>
      <c r="AV284" s="25"/>
      <c r="AW284" s="25"/>
      <c r="AX284" s="25"/>
      <c r="AY284" s="25"/>
      <c r="AZ284" s="25"/>
      <c r="BA284" s="25"/>
      <c r="BB284" s="25"/>
      <c r="BC284" s="25"/>
      <c r="BD284" s="25"/>
      <c r="BE284" s="25"/>
      <c r="BF284" s="25"/>
      <c r="BG284" s="25"/>
      <c r="BH284" s="25"/>
      <c r="BI284" s="25"/>
    </row>
    <row r="285" spans="2:61" x14ac:dyDescent="0.35"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  <c r="AO285" s="25"/>
      <c r="AP285" s="25"/>
      <c r="AQ285" s="25"/>
      <c r="AR285" s="25"/>
      <c r="AS285" s="25"/>
      <c r="AT285" s="25"/>
      <c r="AU285" s="25"/>
      <c r="AV285" s="25"/>
      <c r="AW285" s="25"/>
      <c r="AX285" s="25"/>
      <c r="AY285" s="25"/>
      <c r="AZ285" s="25"/>
      <c r="BA285" s="25"/>
      <c r="BB285" s="25"/>
      <c r="BC285" s="25"/>
      <c r="BD285" s="25"/>
      <c r="BE285" s="25"/>
      <c r="BF285" s="25"/>
      <c r="BG285" s="25"/>
      <c r="BH285" s="25"/>
      <c r="BI285" s="25"/>
    </row>
    <row r="286" spans="2:61" x14ac:dyDescent="0.35"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  <c r="AO286" s="25"/>
      <c r="AP286" s="25"/>
      <c r="AQ286" s="25"/>
      <c r="AR286" s="25"/>
      <c r="AS286" s="25"/>
      <c r="AT286" s="25"/>
      <c r="AU286" s="25"/>
      <c r="AV286" s="25"/>
      <c r="AW286" s="25"/>
      <c r="AX286" s="25"/>
      <c r="AY286" s="25"/>
      <c r="AZ286" s="25"/>
      <c r="BA286" s="25"/>
      <c r="BB286" s="25"/>
      <c r="BC286" s="25"/>
      <c r="BD286" s="25"/>
      <c r="BE286" s="25"/>
      <c r="BF286" s="25"/>
      <c r="BG286" s="25"/>
      <c r="BH286" s="25"/>
      <c r="BI286" s="25"/>
    </row>
    <row r="287" spans="2:61" x14ac:dyDescent="0.35"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  <c r="AO287" s="25"/>
      <c r="AP287" s="25"/>
      <c r="AQ287" s="25"/>
      <c r="AR287" s="25"/>
      <c r="AS287" s="25"/>
      <c r="AT287" s="25"/>
      <c r="AU287" s="25"/>
      <c r="AV287" s="25"/>
      <c r="AW287" s="25"/>
      <c r="AX287" s="25"/>
      <c r="AY287" s="25"/>
      <c r="AZ287" s="25"/>
      <c r="BA287" s="25"/>
      <c r="BB287" s="25"/>
      <c r="BC287" s="25"/>
      <c r="BD287" s="25"/>
      <c r="BE287" s="25"/>
      <c r="BF287" s="25"/>
      <c r="BG287" s="25"/>
      <c r="BH287" s="25"/>
      <c r="BI287" s="25"/>
    </row>
    <row r="288" spans="2:61" x14ac:dyDescent="0.35"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  <c r="AO288" s="25"/>
      <c r="AP288" s="25"/>
      <c r="AQ288" s="25"/>
      <c r="AR288" s="25"/>
      <c r="AS288" s="25"/>
      <c r="AT288" s="25"/>
      <c r="AU288" s="25"/>
      <c r="AV288" s="25"/>
      <c r="AW288" s="25"/>
      <c r="AX288" s="25"/>
      <c r="AY288" s="25"/>
      <c r="AZ288" s="25"/>
      <c r="BA288" s="25"/>
      <c r="BB288" s="25"/>
      <c r="BC288" s="25"/>
      <c r="BD288" s="25"/>
      <c r="BE288" s="25"/>
      <c r="BF288" s="25"/>
      <c r="BG288" s="25"/>
      <c r="BH288" s="25"/>
      <c r="BI288" s="25"/>
    </row>
    <row r="289" spans="2:61" x14ac:dyDescent="0.35"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  <c r="AO289" s="25"/>
      <c r="AP289" s="25"/>
      <c r="AQ289" s="25"/>
      <c r="AR289" s="25"/>
      <c r="AS289" s="25"/>
      <c r="AT289" s="25"/>
      <c r="AU289" s="25"/>
      <c r="AV289" s="25"/>
      <c r="AW289" s="25"/>
      <c r="AX289" s="25"/>
      <c r="AY289" s="25"/>
      <c r="AZ289" s="25"/>
      <c r="BA289" s="25"/>
      <c r="BB289" s="25"/>
      <c r="BC289" s="25"/>
      <c r="BD289" s="25"/>
      <c r="BE289" s="25"/>
      <c r="BF289" s="25"/>
      <c r="BG289" s="25"/>
      <c r="BH289" s="25"/>
      <c r="BI289" s="25"/>
    </row>
    <row r="290" spans="2:61" x14ac:dyDescent="0.35"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  <c r="AO290" s="25"/>
      <c r="AP290" s="25"/>
      <c r="AQ290" s="25"/>
      <c r="AR290" s="25"/>
      <c r="AS290" s="25"/>
      <c r="AT290" s="25"/>
      <c r="AU290" s="25"/>
      <c r="AV290" s="25"/>
      <c r="AW290" s="25"/>
      <c r="AX290" s="25"/>
      <c r="AY290" s="25"/>
      <c r="AZ290" s="25"/>
      <c r="BA290" s="25"/>
      <c r="BB290" s="25"/>
      <c r="BC290" s="25"/>
      <c r="BD290" s="25"/>
      <c r="BE290" s="25"/>
      <c r="BF290" s="25"/>
      <c r="BG290" s="25"/>
      <c r="BH290" s="25"/>
      <c r="BI290" s="25"/>
    </row>
    <row r="291" spans="2:61" x14ac:dyDescent="0.35"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  <c r="AO291" s="25"/>
      <c r="AP291" s="25"/>
      <c r="AQ291" s="25"/>
      <c r="AR291" s="25"/>
      <c r="AS291" s="25"/>
      <c r="AT291" s="25"/>
      <c r="AU291" s="25"/>
      <c r="AV291" s="25"/>
      <c r="AW291" s="25"/>
      <c r="AX291" s="25"/>
      <c r="AY291" s="25"/>
      <c r="AZ291" s="25"/>
      <c r="BA291" s="25"/>
      <c r="BB291" s="25"/>
      <c r="BC291" s="25"/>
      <c r="BD291" s="25"/>
      <c r="BE291" s="25"/>
      <c r="BF291" s="25"/>
      <c r="BG291" s="25"/>
      <c r="BH291" s="25"/>
      <c r="BI291" s="25"/>
    </row>
    <row r="292" spans="2:61" x14ac:dyDescent="0.35"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  <c r="AO292" s="25"/>
      <c r="AP292" s="25"/>
      <c r="AQ292" s="25"/>
      <c r="AR292" s="25"/>
      <c r="AS292" s="25"/>
      <c r="AT292" s="25"/>
      <c r="AU292" s="25"/>
      <c r="AV292" s="25"/>
      <c r="AW292" s="25"/>
      <c r="AX292" s="25"/>
      <c r="AY292" s="25"/>
      <c r="AZ292" s="25"/>
      <c r="BA292" s="25"/>
      <c r="BB292" s="25"/>
      <c r="BC292" s="25"/>
      <c r="BD292" s="25"/>
      <c r="BE292" s="25"/>
      <c r="BF292" s="25"/>
      <c r="BG292" s="25"/>
      <c r="BH292" s="25"/>
      <c r="BI292" s="25"/>
    </row>
    <row r="293" spans="2:61" x14ac:dyDescent="0.35"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  <c r="AO293" s="25"/>
      <c r="AP293" s="25"/>
      <c r="AQ293" s="25"/>
      <c r="AR293" s="25"/>
      <c r="AS293" s="25"/>
      <c r="AT293" s="25"/>
      <c r="AU293" s="25"/>
      <c r="AV293" s="25"/>
      <c r="AW293" s="25"/>
      <c r="AX293" s="25"/>
      <c r="AY293" s="25"/>
      <c r="AZ293" s="25"/>
      <c r="BA293" s="25"/>
      <c r="BB293" s="25"/>
      <c r="BC293" s="25"/>
      <c r="BD293" s="25"/>
      <c r="BE293" s="25"/>
      <c r="BF293" s="25"/>
      <c r="BG293" s="25"/>
      <c r="BH293" s="25"/>
      <c r="BI293" s="25"/>
    </row>
    <row r="294" spans="2:61" x14ac:dyDescent="0.35"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  <c r="AO294" s="25"/>
      <c r="AP294" s="25"/>
      <c r="AQ294" s="25"/>
      <c r="AR294" s="25"/>
      <c r="AS294" s="25"/>
      <c r="AT294" s="25"/>
      <c r="AU294" s="25"/>
      <c r="AV294" s="25"/>
      <c r="AW294" s="25"/>
      <c r="AX294" s="25"/>
      <c r="AY294" s="25"/>
      <c r="AZ294" s="25"/>
      <c r="BA294" s="25"/>
      <c r="BB294" s="25"/>
      <c r="BC294" s="25"/>
      <c r="BD294" s="25"/>
      <c r="BE294" s="25"/>
      <c r="BF294" s="25"/>
      <c r="BG294" s="25"/>
      <c r="BH294" s="25"/>
      <c r="BI294" s="25"/>
    </row>
    <row r="295" spans="2:61" x14ac:dyDescent="0.35"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  <c r="AO295" s="25"/>
      <c r="AP295" s="25"/>
      <c r="AQ295" s="25"/>
      <c r="AR295" s="25"/>
      <c r="AS295" s="25"/>
      <c r="AT295" s="25"/>
      <c r="AU295" s="25"/>
      <c r="AV295" s="25"/>
      <c r="AW295" s="25"/>
      <c r="AX295" s="25"/>
      <c r="AY295" s="25"/>
      <c r="AZ295" s="25"/>
      <c r="BA295" s="25"/>
      <c r="BB295" s="25"/>
      <c r="BC295" s="25"/>
      <c r="BD295" s="25"/>
      <c r="BE295" s="25"/>
      <c r="BF295" s="25"/>
      <c r="BG295" s="25"/>
      <c r="BH295" s="25"/>
      <c r="BI295" s="25"/>
    </row>
    <row r="296" spans="2:61" x14ac:dyDescent="0.35"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  <c r="AO296" s="25"/>
      <c r="AP296" s="25"/>
      <c r="AQ296" s="25"/>
      <c r="AR296" s="25"/>
      <c r="AS296" s="25"/>
      <c r="AT296" s="25"/>
      <c r="AU296" s="25"/>
      <c r="AV296" s="25"/>
      <c r="AW296" s="25"/>
      <c r="AX296" s="25"/>
      <c r="AY296" s="25"/>
      <c r="AZ296" s="25"/>
      <c r="BA296" s="25"/>
      <c r="BB296" s="25"/>
      <c r="BC296" s="25"/>
      <c r="BD296" s="25"/>
      <c r="BE296" s="25"/>
      <c r="BF296" s="25"/>
      <c r="BG296" s="25"/>
      <c r="BH296" s="25"/>
      <c r="BI296" s="25"/>
    </row>
    <row r="297" spans="2:61" x14ac:dyDescent="0.35"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  <c r="AO297" s="25"/>
      <c r="AP297" s="25"/>
      <c r="AQ297" s="25"/>
      <c r="AR297" s="25"/>
      <c r="AS297" s="25"/>
      <c r="AT297" s="25"/>
      <c r="AU297" s="25"/>
      <c r="AV297" s="25"/>
      <c r="AW297" s="25"/>
      <c r="AX297" s="25"/>
      <c r="AY297" s="25"/>
      <c r="AZ297" s="25"/>
      <c r="BA297" s="25"/>
      <c r="BB297" s="25"/>
      <c r="BC297" s="25"/>
      <c r="BD297" s="25"/>
      <c r="BE297" s="25"/>
      <c r="BF297" s="25"/>
      <c r="BG297" s="25"/>
      <c r="BH297" s="25"/>
      <c r="BI297" s="25"/>
    </row>
    <row r="298" spans="2:61" x14ac:dyDescent="0.35"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  <c r="AO298" s="25"/>
      <c r="AP298" s="25"/>
      <c r="AQ298" s="25"/>
      <c r="AR298" s="25"/>
      <c r="AS298" s="25"/>
      <c r="AT298" s="25"/>
      <c r="AU298" s="25"/>
      <c r="AV298" s="25"/>
      <c r="AW298" s="25"/>
      <c r="AX298" s="25"/>
      <c r="AY298" s="25"/>
      <c r="AZ298" s="25"/>
      <c r="BA298" s="25"/>
      <c r="BB298" s="25"/>
      <c r="BC298" s="25"/>
      <c r="BD298" s="25"/>
      <c r="BE298" s="25"/>
      <c r="BF298" s="25"/>
      <c r="BG298" s="25"/>
      <c r="BH298" s="25"/>
      <c r="BI298" s="25"/>
    </row>
    <row r="299" spans="2:61" x14ac:dyDescent="0.35"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  <c r="AO299" s="25"/>
      <c r="AP299" s="25"/>
      <c r="AQ299" s="25"/>
      <c r="AR299" s="25"/>
      <c r="AS299" s="25"/>
      <c r="AT299" s="25"/>
      <c r="AU299" s="25"/>
      <c r="AV299" s="25"/>
      <c r="AW299" s="25"/>
      <c r="AX299" s="25"/>
      <c r="AY299" s="25"/>
      <c r="AZ299" s="25"/>
      <c r="BA299" s="25"/>
      <c r="BB299" s="25"/>
      <c r="BC299" s="25"/>
      <c r="BD299" s="25"/>
      <c r="BE299" s="25"/>
      <c r="BF299" s="25"/>
      <c r="BG299" s="25"/>
      <c r="BH299" s="25"/>
      <c r="BI299" s="25"/>
    </row>
    <row r="300" spans="2:61" x14ac:dyDescent="0.35"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  <c r="AO300" s="25"/>
      <c r="AP300" s="25"/>
      <c r="AQ300" s="25"/>
      <c r="AR300" s="25"/>
      <c r="AS300" s="25"/>
      <c r="AT300" s="25"/>
      <c r="AU300" s="25"/>
      <c r="AV300" s="25"/>
      <c r="AW300" s="25"/>
      <c r="AX300" s="25"/>
      <c r="AY300" s="25"/>
      <c r="AZ300" s="25"/>
      <c r="BA300" s="25"/>
      <c r="BB300" s="25"/>
      <c r="BC300" s="25"/>
      <c r="BD300" s="25"/>
      <c r="BE300" s="25"/>
      <c r="BF300" s="25"/>
      <c r="BG300" s="25"/>
      <c r="BH300" s="25"/>
      <c r="BI300" s="25"/>
    </row>
    <row r="301" spans="2:61" x14ac:dyDescent="0.35"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  <c r="AO301" s="25"/>
      <c r="AP301" s="25"/>
      <c r="AQ301" s="25"/>
      <c r="AR301" s="25"/>
      <c r="AS301" s="25"/>
      <c r="AT301" s="25"/>
      <c r="AU301" s="25"/>
      <c r="AV301" s="25"/>
      <c r="AW301" s="25"/>
      <c r="AX301" s="25"/>
      <c r="AY301" s="25"/>
      <c r="AZ301" s="25"/>
      <c r="BA301" s="25"/>
      <c r="BB301" s="25"/>
      <c r="BC301" s="25"/>
      <c r="BD301" s="25"/>
      <c r="BE301" s="25"/>
      <c r="BF301" s="25"/>
      <c r="BG301" s="25"/>
      <c r="BH301" s="25"/>
      <c r="BI301" s="25"/>
    </row>
    <row r="302" spans="2:61" x14ac:dyDescent="0.35"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  <c r="AO302" s="25"/>
      <c r="AP302" s="25"/>
      <c r="AQ302" s="25"/>
      <c r="AR302" s="25"/>
      <c r="AS302" s="25"/>
      <c r="AT302" s="25"/>
      <c r="AU302" s="25"/>
      <c r="AV302" s="25"/>
      <c r="AW302" s="25"/>
      <c r="AX302" s="25"/>
      <c r="AY302" s="25"/>
      <c r="AZ302" s="25"/>
      <c r="BA302" s="25"/>
      <c r="BB302" s="25"/>
      <c r="BC302" s="25"/>
      <c r="BD302" s="25"/>
      <c r="BE302" s="25"/>
      <c r="BF302" s="25"/>
      <c r="BG302" s="25"/>
      <c r="BH302" s="25"/>
      <c r="BI302" s="25"/>
    </row>
    <row r="303" spans="2:61" x14ac:dyDescent="0.35"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  <c r="AO303" s="25"/>
      <c r="AP303" s="25"/>
      <c r="AQ303" s="25"/>
      <c r="AR303" s="25"/>
      <c r="AS303" s="25"/>
      <c r="AT303" s="25"/>
      <c r="AU303" s="25"/>
      <c r="AV303" s="25"/>
      <c r="AW303" s="25"/>
      <c r="AX303" s="25"/>
      <c r="AY303" s="25"/>
      <c r="AZ303" s="25"/>
      <c r="BA303" s="25"/>
      <c r="BB303" s="25"/>
      <c r="BC303" s="25"/>
      <c r="BD303" s="25"/>
      <c r="BE303" s="25"/>
      <c r="BF303" s="25"/>
      <c r="BG303" s="25"/>
      <c r="BH303" s="25"/>
      <c r="BI303" s="25"/>
    </row>
    <row r="304" spans="2:61" x14ac:dyDescent="0.35"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  <c r="AO304" s="25"/>
      <c r="AP304" s="25"/>
      <c r="AQ304" s="25"/>
      <c r="AR304" s="25"/>
      <c r="AS304" s="25"/>
      <c r="AT304" s="25"/>
      <c r="AU304" s="25"/>
      <c r="AV304" s="25"/>
      <c r="AW304" s="25"/>
      <c r="AX304" s="25"/>
      <c r="AY304" s="25"/>
      <c r="AZ304" s="25"/>
      <c r="BA304" s="25"/>
      <c r="BB304" s="25"/>
      <c r="BC304" s="25"/>
      <c r="BD304" s="25"/>
      <c r="BE304" s="25"/>
      <c r="BF304" s="25"/>
      <c r="BG304" s="25"/>
      <c r="BH304" s="25"/>
      <c r="BI304" s="25"/>
    </row>
    <row r="305" spans="2:61" x14ac:dyDescent="0.35"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  <c r="AO305" s="25"/>
      <c r="AP305" s="25"/>
      <c r="AQ305" s="25"/>
      <c r="AR305" s="25"/>
      <c r="AS305" s="25"/>
      <c r="AT305" s="25"/>
      <c r="AU305" s="25"/>
      <c r="AV305" s="25"/>
      <c r="AW305" s="25"/>
      <c r="AX305" s="25"/>
      <c r="AY305" s="25"/>
      <c r="AZ305" s="25"/>
      <c r="BA305" s="25"/>
      <c r="BB305" s="25"/>
      <c r="BC305" s="25"/>
      <c r="BD305" s="25"/>
      <c r="BE305" s="25"/>
      <c r="BF305" s="25"/>
      <c r="BG305" s="25"/>
      <c r="BH305" s="25"/>
      <c r="BI305" s="25"/>
    </row>
    <row r="306" spans="2:61" x14ac:dyDescent="0.35"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  <c r="AO306" s="25"/>
      <c r="AP306" s="25"/>
      <c r="AQ306" s="25"/>
      <c r="AR306" s="25"/>
      <c r="AS306" s="25"/>
      <c r="AT306" s="25"/>
      <c r="AU306" s="25"/>
      <c r="AV306" s="25"/>
      <c r="AW306" s="25"/>
      <c r="AX306" s="25"/>
      <c r="AY306" s="25"/>
      <c r="AZ306" s="25"/>
      <c r="BA306" s="25"/>
      <c r="BB306" s="25"/>
      <c r="BC306" s="25"/>
      <c r="BD306" s="25"/>
      <c r="BE306" s="25"/>
      <c r="BF306" s="25"/>
      <c r="BG306" s="25"/>
      <c r="BH306" s="25"/>
      <c r="BI306" s="25"/>
    </row>
    <row r="307" spans="2:61" x14ac:dyDescent="0.35"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  <c r="AO307" s="25"/>
      <c r="AP307" s="25"/>
      <c r="AQ307" s="25"/>
      <c r="AR307" s="25"/>
      <c r="AS307" s="25"/>
      <c r="AT307" s="25"/>
      <c r="AU307" s="25"/>
      <c r="AV307" s="25"/>
      <c r="AW307" s="25"/>
      <c r="AX307" s="25"/>
      <c r="AY307" s="25"/>
      <c r="AZ307" s="25"/>
      <c r="BA307" s="25"/>
      <c r="BB307" s="25"/>
      <c r="BC307" s="25"/>
      <c r="BD307" s="25"/>
      <c r="BE307" s="25"/>
      <c r="BF307" s="25"/>
      <c r="BG307" s="25"/>
      <c r="BH307" s="25"/>
      <c r="BI307" s="25"/>
    </row>
    <row r="308" spans="2:61" x14ac:dyDescent="0.35"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  <c r="AO308" s="25"/>
      <c r="AP308" s="25"/>
      <c r="AQ308" s="25"/>
      <c r="AR308" s="25"/>
      <c r="AS308" s="25"/>
      <c r="AT308" s="25"/>
      <c r="AU308" s="25"/>
      <c r="AV308" s="25"/>
      <c r="AW308" s="25"/>
      <c r="AX308" s="25"/>
      <c r="AY308" s="25"/>
      <c r="AZ308" s="25"/>
      <c r="BA308" s="25"/>
      <c r="BB308" s="25"/>
      <c r="BC308" s="25"/>
      <c r="BD308" s="25"/>
      <c r="BE308" s="25"/>
      <c r="BF308" s="25"/>
      <c r="BG308" s="25"/>
      <c r="BH308" s="25"/>
      <c r="BI308" s="25"/>
    </row>
    <row r="309" spans="2:61" x14ac:dyDescent="0.35"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  <c r="AO309" s="25"/>
      <c r="AP309" s="25"/>
      <c r="AQ309" s="25"/>
      <c r="AR309" s="25"/>
      <c r="AS309" s="25"/>
      <c r="AT309" s="25"/>
      <c r="AU309" s="25"/>
      <c r="AV309" s="25"/>
      <c r="AW309" s="25"/>
      <c r="AX309" s="25"/>
      <c r="AY309" s="25"/>
      <c r="AZ309" s="25"/>
      <c r="BA309" s="25"/>
      <c r="BB309" s="25"/>
      <c r="BC309" s="25"/>
      <c r="BD309" s="25"/>
      <c r="BE309" s="25"/>
      <c r="BF309" s="25"/>
      <c r="BG309" s="25"/>
      <c r="BH309" s="25"/>
      <c r="BI309" s="25"/>
    </row>
    <row r="310" spans="2:61" x14ac:dyDescent="0.35"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  <c r="AO310" s="25"/>
      <c r="AP310" s="25"/>
      <c r="AQ310" s="25"/>
      <c r="AR310" s="25"/>
      <c r="AS310" s="25"/>
      <c r="AT310" s="25"/>
      <c r="AU310" s="25"/>
      <c r="AV310" s="25"/>
      <c r="AW310" s="25"/>
      <c r="AX310" s="25"/>
      <c r="AY310" s="25"/>
      <c r="AZ310" s="25"/>
      <c r="BA310" s="25"/>
      <c r="BB310" s="25"/>
      <c r="BC310" s="25"/>
      <c r="BD310" s="25"/>
      <c r="BE310" s="25"/>
      <c r="BF310" s="25"/>
      <c r="BG310" s="25"/>
      <c r="BH310" s="25"/>
      <c r="BI310" s="25"/>
    </row>
    <row r="311" spans="2:61" x14ac:dyDescent="0.35"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  <c r="AO311" s="25"/>
      <c r="AP311" s="25"/>
      <c r="AQ311" s="25"/>
      <c r="AR311" s="25"/>
      <c r="AS311" s="25"/>
      <c r="AT311" s="25"/>
      <c r="AU311" s="25"/>
      <c r="AV311" s="25"/>
      <c r="AW311" s="25"/>
      <c r="AX311" s="25"/>
      <c r="AY311" s="25"/>
      <c r="AZ311" s="25"/>
      <c r="BA311" s="25"/>
      <c r="BB311" s="25"/>
      <c r="BC311" s="25"/>
      <c r="BD311" s="25"/>
      <c r="BE311" s="25"/>
      <c r="BF311" s="25"/>
      <c r="BG311" s="25"/>
      <c r="BH311" s="25"/>
      <c r="BI311" s="25"/>
    </row>
    <row r="312" spans="2:61" x14ac:dyDescent="0.35"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  <c r="AO312" s="25"/>
      <c r="AP312" s="25"/>
      <c r="AQ312" s="25"/>
      <c r="AR312" s="25"/>
      <c r="AS312" s="25"/>
      <c r="AT312" s="25"/>
      <c r="AU312" s="25"/>
      <c r="AV312" s="25"/>
      <c r="AW312" s="25"/>
      <c r="AX312" s="25"/>
      <c r="AY312" s="25"/>
      <c r="AZ312" s="25"/>
      <c r="BA312" s="25"/>
      <c r="BB312" s="25"/>
      <c r="BC312" s="25"/>
      <c r="BD312" s="25"/>
      <c r="BE312" s="25"/>
      <c r="BF312" s="25"/>
      <c r="BG312" s="25"/>
      <c r="BH312" s="25"/>
      <c r="BI312" s="25"/>
    </row>
    <row r="313" spans="2:61" x14ac:dyDescent="0.35"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  <c r="AO313" s="25"/>
      <c r="AP313" s="25"/>
      <c r="AQ313" s="25"/>
      <c r="AR313" s="25"/>
      <c r="AS313" s="25"/>
      <c r="AT313" s="25"/>
      <c r="AU313" s="25"/>
      <c r="AV313" s="25"/>
      <c r="AW313" s="25"/>
      <c r="AX313" s="25"/>
      <c r="AY313" s="25"/>
      <c r="AZ313" s="25"/>
      <c r="BA313" s="25"/>
      <c r="BB313" s="25"/>
      <c r="BC313" s="25"/>
      <c r="BD313" s="25"/>
      <c r="BE313" s="25"/>
      <c r="BF313" s="25"/>
      <c r="BG313" s="25"/>
      <c r="BH313" s="25"/>
      <c r="BI313" s="25"/>
    </row>
    <row r="314" spans="2:61" x14ac:dyDescent="0.35"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  <c r="AO314" s="25"/>
      <c r="AP314" s="25"/>
      <c r="AQ314" s="25"/>
      <c r="AR314" s="25"/>
      <c r="AS314" s="25"/>
      <c r="AT314" s="25"/>
      <c r="AU314" s="25"/>
      <c r="AV314" s="25"/>
      <c r="AW314" s="25"/>
      <c r="AX314" s="25"/>
      <c r="AY314" s="25"/>
      <c r="AZ314" s="25"/>
      <c r="BA314" s="25"/>
      <c r="BB314" s="25"/>
      <c r="BC314" s="25"/>
      <c r="BD314" s="25"/>
      <c r="BE314" s="25"/>
      <c r="BF314" s="25"/>
      <c r="BG314" s="25"/>
      <c r="BH314" s="25"/>
      <c r="BI314" s="25"/>
    </row>
    <row r="315" spans="2:61" x14ac:dyDescent="0.35"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  <c r="AO315" s="25"/>
      <c r="AP315" s="25"/>
      <c r="AQ315" s="25"/>
      <c r="AR315" s="25"/>
      <c r="AS315" s="25"/>
      <c r="AT315" s="25"/>
      <c r="AU315" s="25"/>
      <c r="AV315" s="25"/>
      <c r="AW315" s="25"/>
      <c r="AX315" s="25"/>
      <c r="AY315" s="25"/>
      <c r="AZ315" s="25"/>
      <c r="BA315" s="25"/>
      <c r="BB315" s="25"/>
      <c r="BC315" s="25"/>
      <c r="BD315" s="25"/>
      <c r="BE315" s="25"/>
      <c r="BF315" s="25"/>
      <c r="BG315" s="25"/>
      <c r="BH315" s="25"/>
      <c r="BI315" s="25"/>
    </row>
    <row r="316" spans="2:61" x14ac:dyDescent="0.35"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  <c r="AO316" s="25"/>
      <c r="AP316" s="25"/>
      <c r="AQ316" s="25"/>
      <c r="AR316" s="25"/>
      <c r="AS316" s="25"/>
      <c r="AT316" s="25"/>
      <c r="AU316" s="25"/>
      <c r="AV316" s="25"/>
      <c r="AW316" s="25"/>
      <c r="AX316" s="25"/>
      <c r="AY316" s="25"/>
      <c r="AZ316" s="25"/>
      <c r="BA316" s="25"/>
      <c r="BB316" s="25"/>
      <c r="BC316" s="25"/>
      <c r="BD316" s="25"/>
      <c r="BE316" s="25"/>
      <c r="BF316" s="25"/>
      <c r="BG316" s="25"/>
      <c r="BH316" s="25"/>
      <c r="BI316" s="25"/>
    </row>
    <row r="317" spans="2:61" x14ac:dyDescent="0.35"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  <c r="AO317" s="25"/>
      <c r="AP317" s="25"/>
      <c r="AQ317" s="25"/>
      <c r="AR317" s="25"/>
      <c r="AS317" s="25"/>
      <c r="AT317" s="25"/>
      <c r="AU317" s="25"/>
      <c r="AV317" s="25"/>
      <c r="AW317" s="25"/>
      <c r="AX317" s="25"/>
      <c r="AY317" s="25"/>
      <c r="AZ317" s="25"/>
      <c r="BA317" s="25"/>
      <c r="BB317" s="25"/>
      <c r="BC317" s="25"/>
      <c r="BD317" s="25"/>
      <c r="BE317" s="25"/>
      <c r="BF317" s="25"/>
      <c r="BG317" s="25"/>
      <c r="BH317" s="25"/>
      <c r="BI317" s="25"/>
    </row>
    <row r="318" spans="2:61" x14ac:dyDescent="0.35"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  <c r="AO318" s="25"/>
      <c r="AP318" s="25"/>
      <c r="AQ318" s="25"/>
      <c r="AR318" s="25"/>
      <c r="AS318" s="25"/>
      <c r="AT318" s="25"/>
      <c r="AU318" s="25"/>
      <c r="AV318" s="25"/>
      <c r="AW318" s="25"/>
      <c r="AX318" s="25"/>
      <c r="AY318" s="25"/>
      <c r="AZ318" s="25"/>
      <c r="BA318" s="25"/>
      <c r="BB318" s="25"/>
      <c r="BC318" s="25"/>
      <c r="BD318" s="25"/>
      <c r="BE318" s="25"/>
      <c r="BF318" s="25"/>
      <c r="BG318" s="25"/>
      <c r="BH318" s="25"/>
      <c r="BI318" s="25"/>
    </row>
    <row r="319" spans="2:61" x14ac:dyDescent="0.35"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  <c r="AO319" s="25"/>
      <c r="AP319" s="25"/>
      <c r="AQ319" s="25"/>
      <c r="AR319" s="25"/>
      <c r="AS319" s="25"/>
      <c r="AT319" s="25"/>
      <c r="AU319" s="25"/>
      <c r="AV319" s="25"/>
      <c r="AW319" s="25"/>
      <c r="AX319" s="25"/>
      <c r="AY319" s="25"/>
      <c r="AZ319" s="25"/>
      <c r="BA319" s="25"/>
      <c r="BB319" s="25"/>
      <c r="BC319" s="25"/>
      <c r="BD319" s="25"/>
      <c r="BE319" s="25"/>
      <c r="BF319" s="25"/>
      <c r="BG319" s="25"/>
      <c r="BH319" s="25"/>
      <c r="BI319" s="25"/>
    </row>
    <row r="320" spans="2:61" x14ac:dyDescent="0.35"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  <c r="AO320" s="25"/>
      <c r="AP320" s="25"/>
      <c r="AQ320" s="25"/>
      <c r="AR320" s="25"/>
      <c r="AS320" s="25"/>
      <c r="AT320" s="25"/>
      <c r="AU320" s="25"/>
      <c r="AV320" s="25"/>
      <c r="AW320" s="25"/>
      <c r="AX320" s="25"/>
      <c r="AY320" s="25"/>
      <c r="AZ320" s="25"/>
      <c r="BA320" s="25"/>
      <c r="BB320" s="25"/>
      <c r="BC320" s="25"/>
      <c r="BD320" s="25"/>
      <c r="BE320" s="25"/>
      <c r="BF320" s="25"/>
      <c r="BG320" s="25"/>
      <c r="BH320" s="25"/>
      <c r="BI320" s="25"/>
    </row>
    <row r="321" spans="2:61" x14ac:dyDescent="0.35"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  <c r="AO321" s="25"/>
      <c r="AP321" s="25"/>
      <c r="AQ321" s="25"/>
      <c r="AR321" s="25"/>
      <c r="AS321" s="25"/>
      <c r="AT321" s="25"/>
      <c r="AU321" s="25"/>
      <c r="AV321" s="25"/>
      <c r="AW321" s="25"/>
      <c r="AX321" s="25"/>
      <c r="AY321" s="25"/>
      <c r="AZ321" s="25"/>
      <c r="BA321" s="25"/>
      <c r="BB321" s="25"/>
      <c r="BC321" s="25"/>
      <c r="BD321" s="25"/>
      <c r="BE321" s="25"/>
      <c r="BF321" s="25"/>
      <c r="BG321" s="25"/>
      <c r="BH321" s="25"/>
      <c r="BI321" s="25"/>
    </row>
    <row r="322" spans="2:61" x14ac:dyDescent="0.35"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  <c r="AO322" s="25"/>
      <c r="AP322" s="25"/>
      <c r="AQ322" s="25"/>
      <c r="AR322" s="25"/>
      <c r="AS322" s="25"/>
      <c r="AT322" s="25"/>
      <c r="AU322" s="25"/>
      <c r="AV322" s="25"/>
      <c r="AW322" s="25"/>
      <c r="AX322" s="25"/>
      <c r="AY322" s="25"/>
      <c r="AZ322" s="25"/>
      <c r="BA322" s="25"/>
      <c r="BB322" s="25"/>
      <c r="BC322" s="25"/>
      <c r="BD322" s="25"/>
      <c r="BE322" s="25"/>
      <c r="BF322" s="25"/>
      <c r="BG322" s="25"/>
      <c r="BH322" s="25"/>
      <c r="BI322" s="25"/>
    </row>
    <row r="323" spans="2:61" x14ac:dyDescent="0.35"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  <c r="AO323" s="25"/>
      <c r="AP323" s="25"/>
      <c r="AQ323" s="25"/>
      <c r="AR323" s="25"/>
      <c r="AS323" s="25"/>
      <c r="AT323" s="25"/>
      <c r="AU323" s="25"/>
      <c r="AV323" s="25"/>
      <c r="AW323" s="25"/>
      <c r="AX323" s="25"/>
      <c r="AY323" s="25"/>
      <c r="AZ323" s="25"/>
      <c r="BA323" s="25"/>
      <c r="BB323" s="25"/>
      <c r="BC323" s="25"/>
      <c r="BD323" s="25"/>
      <c r="BE323" s="25"/>
      <c r="BF323" s="25"/>
      <c r="BG323" s="25"/>
      <c r="BH323" s="25"/>
      <c r="BI323" s="25"/>
    </row>
    <row r="324" spans="2:61" x14ac:dyDescent="0.35"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  <c r="AO324" s="25"/>
      <c r="AP324" s="25"/>
      <c r="AQ324" s="25"/>
      <c r="AR324" s="25"/>
      <c r="AS324" s="25"/>
      <c r="AT324" s="25"/>
      <c r="AU324" s="25"/>
      <c r="AV324" s="25"/>
      <c r="AW324" s="25"/>
      <c r="AX324" s="25"/>
      <c r="AY324" s="25"/>
      <c r="AZ324" s="25"/>
      <c r="BA324" s="25"/>
      <c r="BB324" s="25"/>
      <c r="BC324" s="25"/>
      <c r="BD324" s="25"/>
      <c r="BE324" s="25"/>
      <c r="BF324" s="25"/>
      <c r="BG324" s="25"/>
      <c r="BH324" s="25"/>
      <c r="BI324" s="25"/>
    </row>
    <row r="325" spans="2:61" x14ac:dyDescent="0.35"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  <c r="AO325" s="25"/>
      <c r="AP325" s="25"/>
      <c r="AQ325" s="25"/>
      <c r="AR325" s="25"/>
      <c r="AS325" s="25"/>
      <c r="AT325" s="25"/>
      <c r="AU325" s="25"/>
      <c r="AV325" s="25"/>
      <c r="AW325" s="25"/>
      <c r="AX325" s="25"/>
      <c r="AY325" s="25"/>
      <c r="AZ325" s="25"/>
      <c r="BA325" s="25"/>
      <c r="BB325" s="25"/>
      <c r="BC325" s="25"/>
      <c r="BD325" s="25"/>
      <c r="BE325" s="25"/>
      <c r="BF325" s="25"/>
      <c r="BG325" s="25"/>
      <c r="BH325" s="25"/>
      <c r="BI325" s="25"/>
    </row>
    <row r="326" spans="2:61" x14ac:dyDescent="0.35"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  <c r="AO326" s="25"/>
      <c r="AP326" s="25"/>
      <c r="AQ326" s="25"/>
      <c r="AR326" s="25"/>
      <c r="AS326" s="25"/>
      <c r="AT326" s="25"/>
      <c r="AU326" s="25"/>
      <c r="AV326" s="25"/>
      <c r="AW326" s="25"/>
      <c r="AX326" s="25"/>
      <c r="AY326" s="25"/>
      <c r="AZ326" s="25"/>
      <c r="BA326" s="25"/>
      <c r="BB326" s="25"/>
      <c r="BC326" s="25"/>
      <c r="BD326" s="25"/>
      <c r="BE326" s="25"/>
      <c r="BF326" s="25"/>
      <c r="BG326" s="25"/>
      <c r="BH326" s="25"/>
      <c r="BI326" s="25"/>
    </row>
    <row r="327" spans="2:61" x14ac:dyDescent="0.35"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  <c r="AO327" s="25"/>
      <c r="AP327" s="25"/>
      <c r="AQ327" s="25"/>
      <c r="AR327" s="25"/>
      <c r="AS327" s="25"/>
      <c r="AT327" s="25"/>
      <c r="AU327" s="25"/>
      <c r="AV327" s="25"/>
      <c r="AW327" s="25"/>
      <c r="AX327" s="25"/>
      <c r="AY327" s="25"/>
      <c r="AZ327" s="25"/>
      <c r="BA327" s="25"/>
      <c r="BB327" s="25"/>
      <c r="BC327" s="25"/>
      <c r="BD327" s="25"/>
      <c r="BE327" s="25"/>
      <c r="BF327" s="25"/>
      <c r="BG327" s="25"/>
      <c r="BH327" s="25"/>
      <c r="BI327" s="25"/>
    </row>
    <row r="328" spans="2:61" x14ac:dyDescent="0.35"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  <c r="AO328" s="25"/>
      <c r="AP328" s="25"/>
      <c r="AQ328" s="25"/>
      <c r="AR328" s="25"/>
      <c r="AS328" s="25"/>
      <c r="AT328" s="25"/>
      <c r="AU328" s="25"/>
      <c r="AV328" s="25"/>
      <c r="AW328" s="25"/>
      <c r="AX328" s="25"/>
      <c r="AY328" s="25"/>
      <c r="AZ328" s="25"/>
      <c r="BA328" s="25"/>
      <c r="BB328" s="25"/>
      <c r="BC328" s="25"/>
      <c r="BD328" s="25"/>
      <c r="BE328" s="25"/>
      <c r="BF328" s="25"/>
      <c r="BG328" s="25"/>
      <c r="BH328" s="25"/>
      <c r="BI328" s="25"/>
    </row>
    <row r="329" spans="2:61" x14ac:dyDescent="0.35"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  <c r="AO329" s="25"/>
      <c r="AP329" s="25"/>
      <c r="AQ329" s="25"/>
      <c r="AR329" s="25"/>
      <c r="AS329" s="25"/>
      <c r="AT329" s="25"/>
      <c r="AU329" s="25"/>
      <c r="AV329" s="25"/>
      <c r="AW329" s="25"/>
      <c r="AX329" s="25"/>
      <c r="AY329" s="25"/>
      <c r="AZ329" s="25"/>
      <c r="BA329" s="25"/>
      <c r="BB329" s="25"/>
      <c r="BC329" s="25"/>
      <c r="BD329" s="25"/>
      <c r="BE329" s="25"/>
      <c r="BF329" s="25"/>
      <c r="BG329" s="25"/>
      <c r="BH329" s="25"/>
      <c r="BI329" s="25"/>
    </row>
    <row r="330" spans="2:61" x14ac:dyDescent="0.35"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  <c r="AO330" s="25"/>
      <c r="AP330" s="25"/>
      <c r="AQ330" s="25"/>
      <c r="AR330" s="25"/>
      <c r="AS330" s="25"/>
      <c r="AT330" s="25"/>
      <c r="AU330" s="25"/>
      <c r="AV330" s="25"/>
      <c r="AW330" s="25"/>
      <c r="AX330" s="25"/>
      <c r="AY330" s="25"/>
      <c r="AZ330" s="25"/>
      <c r="BA330" s="25"/>
      <c r="BB330" s="25"/>
      <c r="BC330" s="25"/>
      <c r="BD330" s="25"/>
      <c r="BE330" s="25"/>
      <c r="BF330" s="25"/>
      <c r="BG330" s="25"/>
      <c r="BH330" s="25"/>
      <c r="BI330" s="25"/>
    </row>
    <row r="331" spans="2:61" x14ac:dyDescent="0.35"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  <c r="AO331" s="25"/>
      <c r="AP331" s="25"/>
      <c r="AQ331" s="25"/>
      <c r="AR331" s="25"/>
      <c r="AS331" s="25"/>
      <c r="AT331" s="25"/>
      <c r="AU331" s="25"/>
      <c r="AV331" s="25"/>
      <c r="AW331" s="25"/>
      <c r="AX331" s="25"/>
      <c r="AY331" s="25"/>
      <c r="AZ331" s="25"/>
      <c r="BA331" s="25"/>
      <c r="BB331" s="25"/>
      <c r="BC331" s="25"/>
      <c r="BD331" s="25"/>
      <c r="BE331" s="25"/>
      <c r="BF331" s="25"/>
      <c r="BG331" s="25"/>
      <c r="BH331" s="25"/>
      <c r="BI331" s="25"/>
    </row>
    <row r="332" spans="2:61" x14ac:dyDescent="0.35"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  <c r="AO332" s="25"/>
      <c r="AP332" s="25"/>
      <c r="AQ332" s="25"/>
      <c r="AR332" s="25"/>
      <c r="AS332" s="25"/>
      <c r="AT332" s="25"/>
      <c r="AU332" s="25"/>
      <c r="AV332" s="25"/>
      <c r="AW332" s="25"/>
      <c r="AX332" s="25"/>
      <c r="AY332" s="25"/>
      <c r="AZ332" s="25"/>
      <c r="BA332" s="25"/>
      <c r="BB332" s="25"/>
      <c r="BC332" s="25"/>
      <c r="BD332" s="25"/>
      <c r="BE332" s="25"/>
      <c r="BF332" s="25"/>
      <c r="BG332" s="25"/>
      <c r="BH332" s="25"/>
      <c r="BI332" s="25"/>
    </row>
    <row r="333" spans="2:61" x14ac:dyDescent="0.35"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  <c r="AO333" s="25"/>
      <c r="AP333" s="25"/>
      <c r="AQ333" s="25"/>
      <c r="AR333" s="25"/>
      <c r="AS333" s="25"/>
      <c r="AT333" s="25"/>
      <c r="AU333" s="25"/>
      <c r="AV333" s="25"/>
      <c r="AW333" s="25"/>
      <c r="AX333" s="25"/>
      <c r="AY333" s="25"/>
      <c r="AZ333" s="25"/>
      <c r="BA333" s="25"/>
      <c r="BB333" s="25"/>
      <c r="BC333" s="25"/>
      <c r="BD333" s="25"/>
      <c r="BE333" s="25"/>
      <c r="BF333" s="25"/>
      <c r="BG333" s="25"/>
      <c r="BH333" s="25"/>
      <c r="BI333" s="25"/>
    </row>
    <row r="334" spans="2:61" x14ac:dyDescent="0.35"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  <c r="AO334" s="25"/>
      <c r="AP334" s="25"/>
      <c r="AQ334" s="25"/>
      <c r="AR334" s="25"/>
      <c r="AS334" s="25"/>
      <c r="AT334" s="25"/>
      <c r="AU334" s="25"/>
      <c r="AV334" s="25"/>
      <c r="AW334" s="25"/>
      <c r="AX334" s="25"/>
      <c r="AY334" s="25"/>
      <c r="AZ334" s="25"/>
      <c r="BA334" s="25"/>
      <c r="BB334" s="25"/>
      <c r="BC334" s="25"/>
      <c r="BD334" s="25"/>
      <c r="BE334" s="25"/>
      <c r="BF334" s="25"/>
      <c r="BG334" s="25"/>
      <c r="BH334" s="25"/>
      <c r="BI334" s="25"/>
    </row>
    <row r="335" spans="2:61" x14ac:dyDescent="0.35"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  <c r="AO335" s="25"/>
      <c r="AP335" s="25"/>
      <c r="AQ335" s="25"/>
      <c r="AR335" s="25"/>
      <c r="AS335" s="25"/>
      <c r="AT335" s="25"/>
      <c r="AU335" s="25"/>
      <c r="AV335" s="25"/>
      <c r="AW335" s="25"/>
      <c r="AX335" s="25"/>
      <c r="AY335" s="25"/>
      <c r="AZ335" s="25"/>
      <c r="BA335" s="25"/>
      <c r="BB335" s="25"/>
      <c r="BC335" s="25"/>
      <c r="BD335" s="25"/>
      <c r="BE335" s="25"/>
      <c r="BF335" s="25"/>
      <c r="BG335" s="25"/>
      <c r="BH335" s="25"/>
      <c r="BI335" s="25"/>
    </row>
    <row r="336" spans="2:61" x14ac:dyDescent="0.35"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  <c r="AO336" s="25"/>
      <c r="AP336" s="25"/>
      <c r="AQ336" s="25"/>
      <c r="AR336" s="25"/>
      <c r="AS336" s="25"/>
      <c r="AT336" s="25"/>
      <c r="AU336" s="25"/>
      <c r="AV336" s="25"/>
      <c r="AW336" s="25"/>
      <c r="AX336" s="25"/>
      <c r="AY336" s="25"/>
      <c r="AZ336" s="25"/>
      <c r="BA336" s="25"/>
      <c r="BB336" s="25"/>
      <c r="BC336" s="25"/>
      <c r="BD336" s="25"/>
      <c r="BE336" s="25"/>
      <c r="BF336" s="25"/>
      <c r="BG336" s="25"/>
      <c r="BH336" s="25"/>
      <c r="BI336" s="25"/>
    </row>
    <row r="337" spans="2:61" x14ac:dyDescent="0.35"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  <c r="AO337" s="25"/>
      <c r="AP337" s="25"/>
      <c r="AQ337" s="25"/>
      <c r="AR337" s="25"/>
      <c r="AS337" s="25"/>
      <c r="AT337" s="25"/>
      <c r="AU337" s="25"/>
      <c r="AV337" s="25"/>
      <c r="AW337" s="25"/>
      <c r="AX337" s="25"/>
      <c r="AY337" s="25"/>
      <c r="AZ337" s="25"/>
      <c r="BA337" s="25"/>
      <c r="BB337" s="25"/>
      <c r="BC337" s="25"/>
      <c r="BD337" s="25"/>
      <c r="BE337" s="25"/>
      <c r="BF337" s="25"/>
      <c r="BG337" s="25"/>
      <c r="BH337" s="25"/>
      <c r="BI337" s="25"/>
    </row>
    <row r="338" spans="2:61" x14ac:dyDescent="0.35"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  <c r="AO338" s="25"/>
      <c r="AP338" s="25"/>
      <c r="AQ338" s="25"/>
      <c r="AR338" s="25"/>
      <c r="AS338" s="25"/>
      <c r="AT338" s="25"/>
      <c r="AU338" s="25"/>
      <c r="AV338" s="25"/>
      <c r="AW338" s="25"/>
      <c r="AX338" s="25"/>
      <c r="AY338" s="25"/>
      <c r="AZ338" s="25"/>
      <c r="BA338" s="25"/>
      <c r="BB338" s="25"/>
      <c r="BC338" s="25"/>
      <c r="BD338" s="25"/>
      <c r="BE338" s="25"/>
      <c r="BF338" s="25"/>
      <c r="BG338" s="25"/>
      <c r="BH338" s="25"/>
      <c r="BI338" s="25"/>
    </row>
    <row r="339" spans="2:61" x14ac:dyDescent="0.35"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  <c r="AO339" s="25"/>
      <c r="AP339" s="25"/>
      <c r="AQ339" s="25"/>
      <c r="AR339" s="25"/>
      <c r="AS339" s="25"/>
      <c r="AT339" s="25"/>
      <c r="AU339" s="25"/>
      <c r="AV339" s="25"/>
      <c r="AW339" s="25"/>
      <c r="AX339" s="25"/>
      <c r="AY339" s="25"/>
      <c r="AZ339" s="25"/>
      <c r="BA339" s="25"/>
      <c r="BB339" s="25"/>
      <c r="BC339" s="25"/>
      <c r="BD339" s="25"/>
      <c r="BE339" s="25"/>
      <c r="BF339" s="25"/>
      <c r="BG339" s="25"/>
      <c r="BH339" s="25"/>
      <c r="BI339" s="25"/>
    </row>
    <row r="340" spans="2:61" x14ac:dyDescent="0.35"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  <c r="AO340" s="25"/>
      <c r="AP340" s="25"/>
      <c r="AQ340" s="25"/>
      <c r="AR340" s="25"/>
      <c r="AS340" s="25"/>
      <c r="AT340" s="25"/>
      <c r="AU340" s="25"/>
      <c r="AV340" s="25"/>
      <c r="AW340" s="25"/>
      <c r="AX340" s="25"/>
      <c r="AY340" s="25"/>
      <c r="AZ340" s="25"/>
      <c r="BA340" s="25"/>
      <c r="BB340" s="25"/>
      <c r="BC340" s="25"/>
      <c r="BD340" s="25"/>
      <c r="BE340" s="25"/>
      <c r="BF340" s="25"/>
      <c r="BG340" s="25"/>
      <c r="BH340" s="25"/>
      <c r="BI340" s="25"/>
    </row>
    <row r="341" spans="2:61" x14ac:dyDescent="0.35"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  <c r="AO341" s="25"/>
      <c r="AP341" s="25"/>
      <c r="AQ341" s="25"/>
      <c r="AR341" s="25"/>
      <c r="AS341" s="25"/>
      <c r="AT341" s="25"/>
      <c r="AU341" s="25"/>
      <c r="AV341" s="25"/>
      <c r="AW341" s="25"/>
      <c r="AX341" s="25"/>
      <c r="AY341" s="25"/>
      <c r="AZ341" s="25"/>
      <c r="BA341" s="25"/>
      <c r="BB341" s="25"/>
      <c r="BC341" s="25"/>
      <c r="BD341" s="25"/>
      <c r="BE341" s="25"/>
      <c r="BF341" s="25"/>
      <c r="BG341" s="25"/>
      <c r="BH341" s="25"/>
      <c r="BI341" s="25"/>
    </row>
    <row r="342" spans="2:61" x14ac:dyDescent="0.35"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  <c r="AO342" s="25"/>
      <c r="AP342" s="25"/>
      <c r="AQ342" s="25"/>
      <c r="AR342" s="25"/>
      <c r="AS342" s="25"/>
      <c r="AT342" s="25"/>
      <c r="AU342" s="25"/>
      <c r="AV342" s="25"/>
      <c r="AW342" s="25"/>
      <c r="AX342" s="25"/>
      <c r="AY342" s="25"/>
      <c r="AZ342" s="25"/>
      <c r="BA342" s="25"/>
      <c r="BB342" s="25"/>
      <c r="BC342" s="25"/>
      <c r="BD342" s="25"/>
      <c r="BE342" s="25"/>
      <c r="BF342" s="25"/>
      <c r="BG342" s="25"/>
      <c r="BH342" s="25"/>
      <c r="BI342" s="25"/>
    </row>
    <row r="343" spans="2:61" x14ac:dyDescent="0.35"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  <c r="AO343" s="25"/>
      <c r="AP343" s="25"/>
      <c r="AQ343" s="25"/>
      <c r="AR343" s="25"/>
      <c r="AS343" s="25"/>
      <c r="AT343" s="25"/>
      <c r="AU343" s="25"/>
      <c r="AV343" s="25"/>
      <c r="AW343" s="25"/>
      <c r="AX343" s="25"/>
      <c r="AY343" s="25"/>
      <c r="AZ343" s="25"/>
      <c r="BA343" s="25"/>
      <c r="BB343" s="25"/>
      <c r="BC343" s="25"/>
      <c r="BD343" s="25"/>
      <c r="BE343" s="25"/>
      <c r="BF343" s="25"/>
      <c r="BG343" s="25"/>
      <c r="BH343" s="25"/>
      <c r="BI343" s="25"/>
    </row>
    <row r="344" spans="2:61" x14ac:dyDescent="0.35"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  <c r="AO344" s="25"/>
      <c r="AP344" s="25"/>
      <c r="AQ344" s="25"/>
      <c r="AR344" s="25"/>
      <c r="AS344" s="25"/>
      <c r="AT344" s="25"/>
      <c r="AU344" s="25"/>
      <c r="AV344" s="25"/>
      <c r="AW344" s="25"/>
      <c r="AX344" s="25"/>
      <c r="AY344" s="25"/>
      <c r="AZ344" s="25"/>
      <c r="BA344" s="25"/>
      <c r="BB344" s="25"/>
      <c r="BC344" s="25"/>
      <c r="BD344" s="25"/>
      <c r="BE344" s="25"/>
      <c r="BF344" s="25"/>
      <c r="BG344" s="25"/>
      <c r="BH344" s="25"/>
      <c r="BI344" s="25"/>
    </row>
    <row r="345" spans="2:61" x14ac:dyDescent="0.35"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  <c r="AO345" s="25"/>
      <c r="AP345" s="25"/>
      <c r="AQ345" s="25"/>
      <c r="AR345" s="25"/>
      <c r="AS345" s="25"/>
      <c r="AT345" s="25"/>
      <c r="AU345" s="25"/>
      <c r="AV345" s="25"/>
      <c r="AW345" s="25"/>
      <c r="AX345" s="25"/>
      <c r="AY345" s="25"/>
      <c r="AZ345" s="25"/>
      <c r="BA345" s="25"/>
      <c r="BB345" s="25"/>
      <c r="BC345" s="25"/>
      <c r="BD345" s="25"/>
      <c r="BE345" s="25"/>
      <c r="BF345" s="25"/>
      <c r="BG345" s="25"/>
      <c r="BH345" s="25"/>
      <c r="BI345" s="25"/>
    </row>
    <row r="346" spans="2:61" x14ac:dyDescent="0.35"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  <c r="AO346" s="25"/>
      <c r="AP346" s="25"/>
      <c r="AQ346" s="25"/>
      <c r="AR346" s="25"/>
      <c r="AS346" s="25"/>
      <c r="AT346" s="25"/>
      <c r="AU346" s="25"/>
      <c r="AV346" s="25"/>
      <c r="AW346" s="25"/>
      <c r="AX346" s="25"/>
      <c r="AY346" s="25"/>
      <c r="AZ346" s="25"/>
      <c r="BA346" s="25"/>
      <c r="BB346" s="25"/>
      <c r="BC346" s="25"/>
      <c r="BD346" s="25"/>
      <c r="BE346" s="25"/>
      <c r="BF346" s="25"/>
      <c r="BG346" s="25"/>
      <c r="BH346" s="25"/>
      <c r="BI346" s="25"/>
    </row>
    <row r="347" spans="2:61" x14ac:dyDescent="0.35"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  <c r="AO347" s="25"/>
      <c r="AP347" s="25"/>
      <c r="AQ347" s="25"/>
      <c r="AR347" s="25"/>
      <c r="AS347" s="25"/>
      <c r="AT347" s="25"/>
      <c r="AU347" s="25"/>
      <c r="AV347" s="25"/>
      <c r="AW347" s="25"/>
      <c r="AX347" s="25"/>
      <c r="AY347" s="25"/>
      <c r="AZ347" s="25"/>
      <c r="BA347" s="25"/>
      <c r="BB347" s="25"/>
      <c r="BC347" s="25"/>
      <c r="BD347" s="25"/>
      <c r="BE347" s="25"/>
      <c r="BF347" s="25"/>
      <c r="BG347" s="25"/>
      <c r="BH347" s="25"/>
      <c r="BI347" s="25"/>
    </row>
    <row r="348" spans="2:61" x14ac:dyDescent="0.35"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  <c r="AO348" s="25"/>
      <c r="AP348" s="25"/>
      <c r="AQ348" s="25"/>
      <c r="AR348" s="25"/>
      <c r="AS348" s="25"/>
      <c r="AT348" s="25"/>
      <c r="AU348" s="25"/>
      <c r="AV348" s="25"/>
      <c r="AW348" s="25"/>
      <c r="AX348" s="25"/>
      <c r="AY348" s="25"/>
      <c r="AZ348" s="25"/>
      <c r="BA348" s="25"/>
      <c r="BB348" s="25"/>
      <c r="BC348" s="25"/>
      <c r="BD348" s="25"/>
      <c r="BE348" s="25"/>
      <c r="BF348" s="25"/>
      <c r="BG348" s="25"/>
      <c r="BH348" s="25"/>
      <c r="BI348" s="25"/>
    </row>
    <row r="349" spans="2:61" x14ac:dyDescent="0.35"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  <c r="AO349" s="25"/>
      <c r="AP349" s="25"/>
      <c r="AQ349" s="25"/>
      <c r="AR349" s="25"/>
      <c r="AS349" s="25"/>
      <c r="AT349" s="25"/>
      <c r="AU349" s="25"/>
      <c r="AV349" s="25"/>
      <c r="AW349" s="25"/>
      <c r="AX349" s="25"/>
      <c r="AY349" s="25"/>
      <c r="AZ349" s="25"/>
      <c r="BA349" s="25"/>
      <c r="BB349" s="25"/>
      <c r="BC349" s="25"/>
      <c r="BD349" s="25"/>
      <c r="BE349" s="25"/>
      <c r="BF349" s="25"/>
      <c r="BG349" s="25"/>
      <c r="BH349" s="25"/>
      <c r="BI349" s="25"/>
    </row>
    <row r="350" spans="2:61" x14ac:dyDescent="0.35"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  <c r="AO350" s="25"/>
      <c r="AP350" s="25"/>
      <c r="AQ350" s="25"/>
      <c r="AR350" s="25"/>
      <c r="AS350" s="25"/>
      <c r="AT350" s="25"/>
      <c r="AU350" s="25"/>
      <c r="AV350" s="25"/>
      <c r="AW350" s="25"/>
      <c r="AX350" s="25"/>
      <c r="AY350" s="25"/>
      <c r="AZ350" s="25"/>
      <c r="BA350" s="25"/>
      <c r="BB350" s="25"/>
      <c r="BC350" s="25"/>
      <c r="BD350" s="25"/>
      <c r="BE350" s="25"/>
      <c r="BF350" s="25"/>
      <c r="BG350" s="25"/>
      <c r="BH350" s="25"/>
      <c r="BI350" s="25"/>
    </row>
    <row r="351" spans="2:61" x14ac:dyDescent="0.35"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  <c r="AO351" s="25"/>
      <c r="AP351" s="25"/>
      <c r="AQ351" s="25"/>
      <c r="AR351" s="25"/>
      <c r="AS351" s="25"/>
      <c r="AT351" s="25"/>
      <c r="AU351" s="25"/>
      <c r="AV351" s="25"/>
      <c r="AW351" s="25"/>
      <c r="AX351" s="25"/>
      <c r="AY351" s="25"/>
      <c r="AZ351" s="25"/>
      <c r="BA351" s="25"/>
      <c r="BB351" s="25"/>
      <c r="BC351" s="25"/>
      <c r="BD351" s="25"/>
      <c r="BE351" s="25"/>
      <c r="BF351" s="25"/>
      <c r="BG351" s="25"/>
      <c r="BH351" s="25"/>
      <c r="BI351" s="25"/>
    </row>
    <row r="352" spans="2:61" x14ac:dyDescent="0.35"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  <c r="AO352" s="25"/>
      <c r="AP352" s="25"/>
      <c r="AQ352" s="25"/>
      <c r="AR352" s="25"/>
      <c r="AS352" s="25"/>
      <c r="AT352" s="25"/>
      <c r="AU352" s="25"/>
      <c r="AV352" s="25"/>
      <c r="AW352" s="25"/>
      <c r="AX352" s="25"/>
      <c r="AY352" s="25"/>
      <c r="AZ352" s="25"/>
      <c r="BA352" s="25"/>
      <c r="BB352" s="25"/>
      <c r="BC352" s="25"/>
      <c r="BD352" s="25"/>
      <c r="BE352" s="25"/>
      <c r="BF352" s="25"/>
      <c r="BG352" s="25"/>
      <c r="BH352" s="25"/>
      <c r="BI352" s="25"/>
    </row>
    <row r="353" spans="2:61" x14ac:dyDescent="0.35"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  <c r="AO353" s="25"/>
      <c r="AP353" s="25"/>
      <c r="AQ353" s="25"/>
      <c r="AR353" s="25"/>
      <c r="AS353" s="25"/>
      <c r="AT353" s="25"/>
      <c r="AU353" s="25"/>
      <c r="AV353" s="25"/>
      <c r="AW353" s="25"/>
      <c r="AX353" s="25"/>
      <c r="AY353" s="25"/>
      <c r="AZ353" s="25"/>
      <c r="BA353" s="25"/>
      <c r="BB353" s="25"/>
      <c r="BC353" s="25"/>
      <c r="BD353" s="25"/>
      <c r="BE353" s="25"/>
      <c r="BF353" s="25"/>
      <c r="BG353" s="25"/>
      <c r="BH353" s="25"/>
      <c r="BI353" s="25"/>
    </row>
    <row r="354" spans="2:61" x14ac:dyDescent="0.35"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  <c r="AO354" s="25"/>
      <c r="AP354" s="25"/>
      <c r="AQ354" s="25"/>
      <c r="AR354" s="25"/>
      <c r="AS354" s="25"/>
      <c r="AT354" s="25"/>
      <c r="AU354" s="25"/>
      <c r="AV354" s="25"/>
      <c r="AW354" s="25"/>
      <c r="AX354" s="25"/>
      <c r="AY354" s="25"/>
      <c r="AZ354" s="25"/>
      <c r="BA354" s="25"/>
      <c r="BB354" s="25"/>
      <c r="BC354" s="25"/>
      <c r="BD354" s="25"/>
      <c r="BE354" s="25"/>
      <c r="BF354" s="25"/>
      <c r="BG354" s="25"/>
      <c r="BH354" s="25"/>
      <c r="BI354" s="25"/>
    </row>
    <row r="355" spans="2:61" x14ac:dyDescent="0.35"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  <c r="AO355" s="25"/>
      <c r="AP355" s="25"/>
      <c r="AQ355" s="25"/>
      <c r="AR355" s="25"/>
      <c r="AS355" s="25"/>
      <c r="AT355" s="25"/>
      <c r="AU355" s="25"/>
      <c r="AV355" s="25"/>
      <c r="AW355" s="25"/>
      <c r="AX355" s="25"/>
      <c r="AY355" s="25"/>
      <c r="AZ355" s="25"/>
      <c r="BA355" s="25"/>
      <c r="BB355" s="25"/>
      <c r="BC355" s="25"/>
      <c r="BD355" s="25"/>
      <c r="BE355" s="25"/>
      <c r="BF355" s="25"/>
      <c r="BG355" s="25"/>
      <c r="BH355" s="25"/>
      <c r="BI355" s="25"/>
    </row>
    <row r="356" spans="2:61" x14ac:dyDescent="0.35"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  <c r="AO356" s="25"/>
      <c r="AP356" s="25"/>
      <c r="AQ356" s="25"/>
      <c r="AR356" s="25"/>
      <c r="AS356" s="25"/>
      <c r="AT356" s="25"/>
      <c r="AU356" s="25"/>
      <c r="AV356" s="25"/>
      <c r="AW356" s="25"/>
      <c r="AX356" s="25"/>
      <c r="AY356" s="25"/>
      <c r="AZ356" s="25"/>
      <c r="BA356" s="25"/>
      <c r="BB356" s="25"/>
      <c r="BC356" s="25"/>
      <c r="BD356" s="25"/>
      <c r="BE356" s="25"/>
      <c r="BF356" s="25"/>
      <c r="BG356" s="25"/>
      <c r="BH356" s="25"/>
      <c r="BI356" s="25"/>
    </row>
    <row r="357" spans="2:61" x14ac:dyDescent="0.35"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  <c r="AO357" s="25"/>
      <c r="AP357" s="25"/>
      <c r="AQ357" s="25"/>
      <c r="AR357" s="25"/>
      <c r="AS357" s="25"/>
      <c r="AT357" s="25"/>
      <c r="AU357" s="25"/>
      <c r="AV357" s="25"/>
      <c r="AW357" s="25"/>
      <c r="AX357" s="25"/>
      <c r="AY357" s="25"/>
      <c r="AZ357" s="25"/>
      <c r="BA357" s="25"/>
      <c r="BB357" s="25"/>
      <c r="BC357" s="25"/>
      <c r="BD357" s="25"/>
      <c r="BE357" s="25"/>
      <c r="BF357" s="25"/>
      <c r="BG357" s="25"/>
      <c r="BH357" s="25"/>
      <c r="BI357" s="25"/>
    </row>
    <row r="358" spans="2:61" x14ac:dyDescent="0.35"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  <c r="AO358" s="25"/>
      <c r="AP358" s="25"/>
      <c r="AQ358" s="25"/>
      <c r="AR358" s="25"/>
      <c r="AS358" s="25"/>
      <c r="AT358" s="25"/>
      <c r="AU358" s="25"/>
      <c r="AV358" s="25"/>
      <c r="AW358" s="25"/>
      <c r="AX358" s="25"/>
      <c r="AY358" s="25"/>
      <c r="AZ358" s="25"/>
      <c r="BA358" s="25"/>
      <c r="BB358" s="25"/>
      <c r="BC358" s="25"/>
      <c r="BD358" s="25"/>
      <c r="BE358" s="25"/>
      <c r="BF358" s="25"/>
      <c r="BG358" s="25"/>
      <c r="BH358" s="25"/>
      <c r="BI358" s="25"/>
    </row>
    <row r="359" spans="2:61" x14ac:dyDescent="0.35"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  <c r="AO359" s="25"/>
      <c r="AP359" s="25"/>
      <c r="AQ359" s="25"/>
      <c r="AR359" s="25"/>
      <c r="AS359" s="25"/>
      <c r="AT359" s="25"/>
      <c r="AU359" s="25"/>
      <c r="AV359" s="25"/>
      <c r="AW359" s="25"/>
      <c r="AX359" s="25"/>
      <c r="AY359" s="25"/>
      <c r="AZ359" s="25"/>
      <c r="BA359" s="25"/>
      <c r="BB359" s="25"/>
      <c r="BC359" s="25"/>
      <c r="BD359" s="25"/>
      <c r="BE359" s="25"/>
      <c r="BF359" s="25"/>
      <c r="BG359" s="25"/>
      <c r="BH359" s="25"/>
      <c r="BI359" s="25"/>
    </row>
    <row r="360" spans="2:61" x14ac:dyDescent="0.35"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  <c r="AO360" s="25"/>
      <c r="AP360" s="25"/>
      <c r="AQ360" s="25"/>
      <c r="AR360" s="25"/>
      <c r="AS360" s="25"/>
      <c r="AT360" s="25"/>
      <c r="AU360" s="25"/>
      <c r="AV360" s="25"/>
      <c r="AW360" s="25"/>
      <c r="AX360" s="25"/>
      <c r="AY360" s="25"/>
      <c r="AZ360" s="25"/>
      <c r="BA360" s="25"/>
      <c r="BB360" s="25"/>
      <c r="BC360" s="25"/>
      <c r="BD360" s="25"/>
      <c r="BE360" s="25"/>
      <c r="BF360" s="25"/>
      <c r="BG360" s="25"/>
      <c r="BH360" s="25"/>
      <c r="BI360" s="25"/>
    </row>
    <row r="361" spans="2:61" x14ac:dyDescent="0.35"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  <c r="AO361" s="25"/>
      <c r="AP361" s="25"/>
      <c r="AQ361" s="25"/>
      <c r="AR361" s="25"/>
      <c r="AS361" s="25"/>
      <c r="AT361" s="25"/>
      <c r="AU361" s="25"/>
      <c r="AV361" s="25"/>
      <c r="AW361" s="25"/>
      <c r="AX361" s="25"/>
      <c r="AY361" s="25"/>
      <c r="AZ361" s="25"/>
      <c r="BA361" s="25"/>
      <c r="BB361" s="25"/>
      <c r="BC361" s="25"/>
      <c r="BD361" s="25"/>
      <c r="BE361" s="25"/>
      <c r="BF361" s="25"/>
      <c r="BG361" s="25"/>
      <c r="BH361" s="25"/>
      <c r="BI361" s="25"/>
    </row>
    <row r="362" spans="2:61" x14ac:dyDescent="0.35"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  <c r="AO362" s="25"/>
      <c r="AP362" s="25"/>
      <c r="AQ362" s="25"/>
      <c r="AR362" s="25"/>
      <c r="AS362" s="25"/>
      <c r="AT362" s="25"/>
      <c r="AU362" s="25"/>
      <c r="AV362" s="25"/>
      <c r="AW362" s="25"/>
      <c r="AX362" s="25"/>
      <c r="AY362" s="25"/>
      <c r="AZ362" s="25"/>
      <c r="BA362" s="25"/>
      <c r="BB362" s="25"/>
      <c r="BC362" s="25"/>
      <c r="BD362" s="25"/>
      <c r="BE362" s="25"/>
      <c r="BF362" s="25"/>
      <c r="BG362" s="25"/>
      <c r="BH362" s="25"/>
      <c r="BI362" s="25"/>
    </row>
    <row r="363" spans="2:61" x14ac:dyDescent="0.35"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  <c r="AO363" s="25"/>
      <c r="AP363" s="25"/>
      <c r="AQ363" s="25"/>
      <c r="AR363" s="25"/>
      <c r="AS363" s="25"/>
      <c r="AT363" s="25"/>
      <c r="AU363" s="25"/>
      <c r="AV363" s="25"/>
      <c r="AW363" s="25"/>
      <c r="AX363" s="25"/>
      <c r="AY363" s="25"/>
      <c r="AZ363" s="25"/>
      <c r="BA363" s="25"/>
      <c r="BB363" s="25"/>
      <c r="BC363" s="25"/>
      <c r="BD363" s="25"/>
      <c r="BE363" s="25"/>
      <c r="BF363" s="25"/>
      <c r="BG363" s="25"/>
      <c r="BH363" s="25"/>
      <c r="BI363" s="25"/>
    </row>
    <row r="364" spans="2:61" x14ac:dyDescent="0.35"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  <c r="AO364" s="25"/>
      <c r="AP364" s="25"/>
      <c r="AQ364" s="25"/>
      <c r="AR364" s="25"/>
      <c r="AS364" s="25"/>
      <c r="AT364" s="25"/>
      <c r="AU364" s="25"/>
      <c r="AV364" s="25"/>
      <c r="AW364" s="25"/>
      <c r="AX364" s="25"/>
      <c r="AY364" s="25"/>
      <c r="AZ364" s="25"/>
      <c r="BA364" s="25"/>
      <c r="BB364" s="25"/>
      <c r="BC364" s="25"/>
      <c r="BD364" s="25"/>
      <c r="BE364" s="25"/>
      <c r="BF364" s="25"/>
      <c r="BG364" s="25"/>
      <c r="BH364" s="25"/>
      <c r="BI364" s="25"/>
    </row>
    <row r="365" spans="2:61" x14ac:dyDescent="0.35"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  <c r="AO365" s="25"/>
      <c r="AP365" s="25"/>
      <c r="AQ365" s="25"/>
      <c r="AR365" s="25"/>
      <c r="AS365" s="25"/>
      <c r="AT365" s="25"/>
      <c r="AU365" s="25"/>
      <c r="AV365" s="25"/>
      <c r="AW365" s="25"/>
      <c r="AX365" s="25"/>
      <c r="AY365" s="25"/>
      <c r="AZ365" s="25"/>
      <c r="BA365" s="25"/>
      <c r="BB365" s="25"/>
      <c r="BC365" s="25"/>
      <c r="BD365" s="25"/>
      <c r="BE365" s="25"/>
      <c r="BF365" s="25"/>
      <c r="BG365" s="25"/>
      <c r="BH365" s="25"/>
      <c r="BI365" s="25"/>
    </row>
    <row r="366" spans="2:61" x14ac:dyDescent="0.35"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  <c r="AO366" s="25"/>
      <c r="AP366" s="25"/>
      <c r="AQ366" s="25"/>
      <c r="AR366" s="25"/>
      <c r="AS366" s="25"/>
      <c r="AT366" s="25"/>
      <c r="AU366" s="25"/>
      <c r="AV366" s="25"/>
      <c r="AW366" s="25"/>
      <c r="AX366" s="25"/>
      <c r="AY366" s="25"/>
      <c r="AZ366" s="25"/>
      <c r="BA366" s="25"/>
      <c r="BB366" s="25"/>
      <c r="BC366" s="25"/>
      <c r="BD366" s="25"/>
      <c r="BE366" s="25"/>
      <c r="BF366" s="25"/>
      <c r="BG366" s="25"/>
      <c r="BH366" s="25"/>
      <c r="BI366" s="25"/>
    </row>
    <row r="367" spans="2:61" x14ac:dyDescent="0.35"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  <c r="AO367" s="25"/>
      <c r="AP367" s="25"/>
      <c r="AQ367" s="25"/>
      <c r="AR367" s="25"/>
      <c r="AS367" s="25"/>
      <c r="AT367" s="25"/>
      <c r="AU367" s="25"/>
      <c r="AV367" s="25"/>
      <c r="AW367" s="25"/>
      <c r="AX367" s="25"/>
      <c r="AY367" s="25"/>
      <c r="AZ367" s="25"/>
      <c r="BA367" s="25"/>
      <c r="BB367" s="25"/>
      <c r="BC367" s="25"/>
      <c r="BD367" s="25"/>
      <c r="BE367" s="25"/>
      <c r="BF367" s="25"/>
      <c r="BG367" s="25"/>
      <c r="BH367" s="25"/>
      <c r="BI367" s="25"/>
    </row>
    <row r="368" spans="2:61" x14ac:dyDescent="0.35"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  <c r="AO368" s="25"/>
      <c r="AP368" s="25"/>
      <c r="AQ368" s="25"/>
      <c r="AR368" s="25"/>
      <c r="AS368" s="25"/>
      <c r="AT368" s="25"/>
      <c r="AU368" s="25"/>
      <c r="AV368" s="25"/>
      <c r="AW368" s="25"/>
      <c r="AX368" s="25"/>
      <c r="AY368" s="25"/>
      <c r="AZ368" s="25"/>
      <c r="BA368" s="25"/>
      <c r="BB368" s="25"/>
      <c r="BC368" s="25"/>
      <c r="BD368" s="25"/>
      <c r="BE368" s="25"/>
      <c r="BF368" s="25"/>
      <c r="BG368" s="25"/>
      <c r="BH368" s="25"/>
      <c r="BI368" s="25"/>
    </row>
    <row r="369" spans="2:61" x14ac:dyDescent="0.35"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  <c r="AO369" s="25"/>
      <c r="AP369" s="25"/>
      <c r="AQ369" s="25"/>
      <c r="AR369" s="25"/>
      <c r="AS369" s="25"/>
      <c r="AT369" s="25"/>
      <c r="AU369" s="25"/>
      <c r="AV369" s="25"/>
      <c r="AW369" s="25"/>
      <c r="AX369" s="25"/>
      <c r="AY369" s="25"/>
      <c r="AZ369" s="25"/>
      <c r="BA369" s="25"/>
      <c r="BB369" s="25"/>
      <c r="BC369" s="25"/>
      <c r="BD369" s="25"/>
      <c r="BE369" s="25"/>
      <c r="BF369" s="25"/>
      <c r="BG369" s="25"/>
      <c r="BH369" s="25"/>
      <c r="BI369" s="25"/>
    </row>
    <row r="370" spans="2:61" x14ac:dyDescent="0.35"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  <c r="AO370" s="25"/>
      <c r="AP370" s="25"/>
      <c r="AQ370" s="25"/>
      <c r="AR370" s="25"/>
      <c r="AS370" s="25"/>
      <c r="AT370" s="25"/>
      <c r="AU370" s="25"/>
      <c r="AV370" s="25"/>
      <c r="AW370" s="25"/>
      <c r="AX370" s="25"/>
      <c r="AY370" s="25"/>
      <c r="AZ370" s="25"/>
      <c r="BA370" s="25"/>
      <c r="BB370" s="25"/>
      <c r="BC370" s="25"/>
      <c r="BD370" s="25"/>
      <c r="BE370" s="25"/>
      <c r="BF370" s="25"/>
      <c r="BG370" s="25"/>
      <c r="BH370" s="25"/>
      <c r="BI370" s="25"/>
    </row>
    <row r="371" spans="2:61" x14ac:dyDescent="0.35"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  <c r="AO371" s="25"/>
      <c r="AP371" s="25"/>
      <c r="AQ371" s="25"/>
      <c r="AR371" s="25"/>
      <c r="AS371" s="25"/>
      <c r="AT371" s="25"/>
      <c r="AU371" s="25"/>
      <c r="AV371" s="25"/>
      <c r="AW371" s="25"/>
      <c r="AX371" s="25"/>
      <c r="AY371" s="25"/>
      <c r="AZ371" s="25"/>
      <c r="BA371" s="25"/>
      <c r="BB371" s="25"/>
      <c r="BC371" s="25"/>
      <c r="BD371" s="25"/>
      <c r="BE371" s="25"/>
      <c r="BF371" s="25"/>
      <c r="BG371" s="25"/>
      <c r="BH371" s="25"/>
      <c r="BI371" s="25"/>
    </row>
    <row r="372" spans="2:61" x14ac:dyDescent="0.35"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  <c r="AO372" s="25"/>
      <c r="AP372" s="25"/>
      <c r="AQ372" s="25"/>
      <c r="AR372" s="25"/>
      <c r="AS372" s="25"/>
      <c r="AT372" s="25"/>
      <c r="AU372" s="25"/>
      <c r="AV372" s="25"/>
      <c r="AW372" s="25"/>
      <c r="AX372" s="25"/>
      <c r="AY372" s="25"/>
      <c r="AZ372" s="25"/>
      <c r="BA372" s="25"/>
      <c r="BB372" s="25"/>
      <c r="BC372" s="25"/>
      <c r="BD372" s="25"/>
      <c r="BE372" s="25"/>
      <c r="BF372" s="25"/>
      <c r="BG372" s="25"/>
      <c r="BH372" s="25"/>
      <c r="BI372" s="25"/>
    </row>
    <row r="373" spans="2:61" x14ac:dyDescent="0.35"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  <c r="AO373" s="25"/>
      <c r="AP373" s="25"/>
      <c r="AQ373" s="25"/>
      <c r="AR373" s="25"/>
      <c r="AS373" s="25"/>
      <c r="AT373" s="25"/>
      <c r="AU373" s="25"/>
      <c r="AV373" s="25"/>
      <c r="AW373" s="25"/>
      <c r="AX373" s="25"/>
      <c r="AY373" s="25"/>
      <c r="AZ373" s="25"/>
      <c r="BA373" s="25"/>
      <c r="BB373" s="25"/>
      <c r="BC373" s="25"/>
      <c r="BD373" s="25"/>
      <c r="BE373" s="25"/>
      <c r="BF373" s="25"/>
      <c r="BG373" s="25"/>
      <c r="BH373" s="25"/>
      <c r="BI373" s="25"/>
    </row>
    <row r="374" spans="2:61" x14ac:dyDescent="0.35"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  <c r="AO374" s="25"/>
      <c r="AP374" s="25"/>
      <c r="AQ374" s="25"/>
      <c r="AR374" s="25"/>
      <c r="AS374" s="25"/>
      <c r="AT374" s="25"/>
      <c r="AU374" s="25"/>
      <c r="AV374" s="25"/>
      <c r="AW374" s="25"/>
      <c r="AX374" s="25"/>
      <c r="AY374" s="25"/>
      <c r="AZ374" s="25"/>
      <c r="BA374" s="25"/>
      <c r="BB374" s="25"/>
      <c r="BC374" s="25"/>
      <c r="BD374" s="25"/>
      <c r="BE374" s="25"/>
      <c r="BF374" s="25"/>
      <c r="BG374" s="25"/>
      <c r="BH374" s="25"/>
      <c r="BI374" s="25"/>
    </row>
    <row r="375" spans="2:61" x14ac:dyDescent="0.35"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  <c r="AO375" s="25"/>
      <c r="AP375" s="25"/>
      <c r="AQ375" s="25"/>
      <c r="AR375" s="25"/>
      <c r="AS375" s="25"/>
      <c r="AT375" s="25"/>
      <c r="AU375" s="25"/>
      <c r="AV375" s="25"/>
      <c r="AW375" s="25"/>
      <c r="AX375" s="25"/>
      <c r="AY375" s="25"/>
      <c r="AZ375" s="25"/>
      <c r="BA375" s="25"/>
      <c r="BB375" s="25"/>
      <c r="BC375" s="25"/>
      <c r="BD375" s="25"/>
      <c r="BE375" s="25"/>
      <c r="BF375" s="25"/>
      <c r="BG375" s="25"/>
      <c r="BH375" s="25"/>
      <c r="BI375" s="25"/>
    </row>
    <row r="376" spans="2:61" x14ac:dyDescent="0.35"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  <c r="AO376" s="25"/>
      <c r="AP376" s="25"/>
      <c r="AQ376" s="25"/>
      <c r="AR376" s="25"/>
      <c r="AS376" s="25"/>
      <c r="AT376" s="25"/>
      <c r="AU376" s="25"/>
      <c r="AV376" s="25"/>
      <c r="AW376" s="25"/>
      <c r="AX376" s="25"/>
      <c r="AY376" s="25"/>
      <c r="AZ376" s="25"/>
      <c r="BA376" s="25"/>
      <c r="BB376" s="25"/>
      <c r="BC376" s="25"/>
      <c r="BD376" s="25"/>
      <c r="BE376" s="25"/>
      <c r="BF376" s="25"/>
      <c r="BG376" s="25"/>
      <c r="BH376" s="25"/>
      <c r="BI376" s="25"/>
    </row>
    <row r="377" spans="2:61" x14ac:dyDescent="0.35"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  <c r="AO377" s="25"/>
      <c r="AP377" s="25"/>
      <c r="AQ377" s="25"/>
      <c r="AR377" s="25"/>
      <c r="AS377" s="25"/>
      <c r="AT377" s="25"/>
      <c r="AU377" s="25"/>
      <c r="AV377" s="25"/>
      <c r="AW377" s="25"/>
      <c r="AX377" s="25"/>
      <c r="AY377" s="25"/>
      <c r="AZ377" s="25"/>
      <c r="BA377" s="25"/>
      <c r="BB377" s="25"/>
      <c r="BC377" s="25"/>
      <c r="BD377" s="25"/>
      <c r="BE377" s="25"/>
      <c r="BF377" s="25"/>
      <c r="BG377" s="25"/>
      <c r="BH377" s="25"/>
      <c r="BI377" s="25"/>
    </row>
    <row r="378" spans="2:61" x14ac:dyDescent="0.35"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  <c r="AO378" s="25"/>
      <c r="AP378" s="25"/>
      <c r="AQ378" s="25"/>
      <c r="AR378" s="25"/>
      <c r="AS378" s="25"/>
      <c r="AT378" s="25"/>
      <c r="AU378" s="25"/>
      <c r="AV378" s="25"/>
      <c r="AW378" s="25"/>
      <c r="AX378" s="25"/>
      <c r="AY378" s="25"/>
      <c r="AZ378" s="25"/>
      <c r="BA378" s="25"/>
      <c r="BB378" s="25"/>
      <c r="BC378" s="25"/>
      <c r="BD378" s="25"/>
      <c r="BE378" s="25"/>
      <c r="BF378" s="25"/>
      <c r="BG378" s="25"/>
      <c r="BH378" s="25"/>
      <c r="BI378" s="25"/>
    </row>
    <row r="379" spans="2:61" x14ac:dyDescent="0.35"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  <c r="AO379" s="25"/>
      <c r="AP379" s="25"/>
      <c r="AQ379" s="25"/>
      <c r="AR379" s="25"/>
      <c r="AS379" s="25"/>
      <c r="AT379" s="25"/>
      <c r="AU379" s="25"/>
      <c r="AV379" s="25"/>
      <c r="AW379" s="25"/>
      <c r="AX379" s="25"/>
      <c r="AY379" s="25"/>
      <c r="AZ379" s="25"/>
      <c r="BA379" s="25"/>
      <c r="BB379" s="25"/>
      <c r="BC379" s="25"/>
      <c r="BD379" s="25"/>
      <c r="BE379" s="25"/>
      <c r="BF379" s="25"/>
      <c r="BG379" s="25"/>
      <c r="BH379" s="25"/>
      <c r="BI379" s="25"/>
    </row>
    <row r="380" spans="2:61" x14ac:dyDescent="0.35"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  <c r="AO380" s="25"/>
      <c r="AP380" s="25"/>
      <c r="AQ380" s="25"/>
      <c r="AR380" s="25"/>
      <c r="AS380" s="25"/>
      <c r="AT380" s="25"/>
      <c r="AU380" s="25"/>
      <c r="AV380" s="25"/>
      <c r="AW380" s="25"/>
      <c r="AX380" s="25"/>
      <c r="AY380" s="25"/>
      <c r="AZ380" s="25"/>
      <c r="BA380" s="25"/>
      <c r="BB380" s="25"/>
      <c r="BC380" s="25"/>
      <c r="BD380" s="25"/>
      <c r="BE380" s="25"/>
      <c r="BF380" s="25"/>
      <c r="BG380" s="25"/>
      <c r="BH380" s="25"/>
      <c r="BI380" s="25"/>
    </row>
    <row r="381" spans="2:61" x14ac:dyDescent="0.35"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  <c r="AO381" s="25"/>
      <c r="AP381" s="25"/>
      <c r="AQ381" s="25"/>
      <c r="AR381" s="25"/>
      <c r="AS381" s="25"/>
      <c r="AT381" s="25"/>
      <c r="AU381" s="25"/>
      <c r="AV381" s="25"/>
      <c r="AW381" s="25"/>
      <c r="AX381" s="25"/>
      <c r="AY381" s="25"/>
      <c r="AZ381" s="25"/>
      <c r="BA381" s="25"/>
      <c r="BB381" s="25"/>
      <c r="BC381" s="25"/>
      <c r="BD381" s="25"/>
      <c r="BE381" s="25"/>
      <c r="BF381" s="25"/>
      <c r="BG381" s="25"/>
      <c r="BH381" s="25"/>
      <c r="BI381" s="25"/>
    </row>
    <row r="382" spans="2:61" x14ac:dyDescent="0.35"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  <c r="AO382" s="25"/>
      <c r="AP382" s="25"/>
      <c r="AQ382" s="25"/>
      <c r="AR382" s="25"/>
      <c r="AS382" s="25"/>
      <c r="AT382" s="25"/>
      <c r="AU382" s="25"/>
      <c r="AV382" s="25"/>
      <c r="AW382" s="25"/>
      <c r="AX382" s="25"/>
      <c r="AY382" s="25"/>
      <c r="AZ382" s="25"/>
      <c r="BA382" s="25"/>
      <c r="BB382" s="25"/>
      <c r="BC382" s="25"/>
      <c r="BD382" s="25"/>
      <c r="BE382" s="25"/>
      <c r="BF382" s="25"/>
      <c r="BG382" s="25"/>
      <c r="BH382" s="25"/>
      <c r="BI382" s="25"/>
    </row>
    <row r="383" spans="2:61" x14ac:dyDescent="0.35"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  <c r="AO383" s="25"/>
      <c r="AP383" s="25"/>
      <c r="AQ383" s="25"/>
      <c r="AR383" s="25"/>
      <c r="AS383" s="25"/>
      <c r="AT383" s="25"/>
      <c r="AU383" s="25"/>
      <c r="AV383" s="25"/>
      <c r="AW383" s="25"/>
      <c r="AX383" s="25"/>
      <c r="AY383" s="25"/>
      <c r="AZ383" s="25"/>
      <c r="BA383" s="25"/>
      <c r="BB383" s="25"/>
      <c r="BC383" s="25"/>
      <c r="BD383" s="25"/>
      <c r="BE383" s="25"/>
      <c r="BF383" s="25"/>
      <c r="BG383" s="25"/>
      <c r="BH383" s="25"/>
      <c r="BI383" s="25"/>
    </row>
    <row r="384" spans="2:61" x14ac:dyDescent="0.35"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  <c r="AO384" s="25"/>
      <c r="AP384" s="25"/>
      <c r="AQ384" s="25"/>
      <c r="AR384" s="25"/>
      <c r="AS384" s="25"/>
      <c r="AT384" s="25"/>
      <c r="AU384" s="25"/>
      <c r="AV384" s="25"/>
      <c r="AW384" s="25"/>
      <c r="AX384" s="25"/>
      <c r="AY384" s="25"/>
      <c r="AZ384" s="25"/>
      <c r="BA384" s="25"/>
      <c r="BB384" s="25"/>
      <c r="BC384" s="25"/>
      <c r="BD384" s="25"/>
      <c r="BE384" s="25"/>
      <c r="BF384" s="25"/>
      <c r="BG384" s="25"/>
      <c r="BH384" s="25"/>
      <c r="BI384" s="25"/>
    </row>
    <row r="385" spans="2:61" x14ac:dyDescent="0.35"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  <c r="AO385" s="25"/>
      <c r="AP385" s="25"/>
      <c r="AQ385" s="25"/>
      <c r="AR385" s="25"/>
      <c r="AS385" s="25"/>
      <c r="AT385" s="25"/>
      <c r="AU385" s="25"/>
      <c r="AV385" s="25"/>
      <c r="AW385" s="25"/>
      <c r="AX385" s="25"/>
      <c r="AY385" s="25"/>
      <c r="AZ385" s="25"/>
      <c r="BA385" s="25"/>
      <c r="BB385" s="25"/>
      <c r="BC385" s="25"/>
      <c r="BD385" s="25"/>
      <c r="BE385" s="25"/>
      <c r="BF385" s="25"/>
      <c r="BG385" s="25"/>
      <c r="BH385" s="25"/>
      <c r="BI385" s="25"/>
    </row>
    <row r="386" spans="2:61" x14ac:dyDescent="0.35"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  <c r="AO386" s="25"/>
      <c r="AP386" s="25"/>
      <c r="AQ386" s="25"/>
      <c r="AR386" s="25"/>
      <c r="AS386" s="25"/>
      <c r="AT386" s="25"/>
      <c r="AU386" s="25"/>
      <c r="AV386" s="25"/>
      <c r="AW386" s="25"/>
      <c r="AX386" s="25"/>
      <c r="AY386" s="25"/>
      <c r="AZ386" s="25"/>
      <c r="BA386" s="25"/>
      <c r="BB386" s="25"/>
      <c r="BC386" s="25"/>
      <c r="BD386" s="25"/>
      <c r="BE386" s="25"/>
      <c r="BF386" s="25"/>
      <c r="BG386" s="25"/>
      <c r="BH386" s="25"/>
      <c r="BI386" s="25"/>
    </row>
    <row r="387" spans="2:61" x14ac:dyDescent="0.35"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  <c r="AO387" s="25"/>
      <c r="AP387" s="25"/>
      <c r="AQ387" s="25"/>
      <c r="AR387" s="25"/>
      <c r="AS387" s="25"/>
      <c r="AT387" s="25"/>
      <c r="AU387" s="25"/>
      <c r="AV387" s="25"/>
      <c r="AW387" s="25"/>
      <c r="AX387" s="25"/>
      <c r="AY387" s="25"/>
      <c r="AZ387" s="25"/>
      <c r="BA387" s="25"/>
      <c r="BB387" s="25"/>
      <c r="BC387" s="25"/>
      <c r="BD387" s="25"/>
      <c r="BE387" s="25"/>
      <c r="BF387" s="25"/>
      <c r="BG387" s="25"/>
      <c r="BH387" s="25"/>
      <c r="BI387" s="25"/>
    </row>
    <row r="388" spans="2:61" x14ac:dyDescent="0.35"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  <c r="AO388" s="25"/>
      <c r="AP388" s="25"/>
      <c r="AQ388" s="25"/>
      <c r="AR388" s="25"/>
      <c r="AS388" s="25"/>
      <c r="AT388" s="25"/>
      <c r="AU388" s="25"/>
      <c r="AV388" s="25"/>
      <c r="AW388" s="25"/>
      <c r="AX388" s="25"/>
      <c r="AY388" s="25"/>
      <c r="AZ388" s="25"/>
      <c r="BA388" s="25"/>
      <c r="BB388" s="25"/>
      <c r="BC388" s="25"/>
      <c r="BD388" s="25"/>
      <c r="BE388" s="25"/>
      <c r="BF388" s="25"/>
      <c r="BG388" s="25"/>
      <c r="BH388" s="25"/>
      <c r="BI388" s="25"/>
    </row>
    <row r="389" spans="2:61" x14ac:dyDescent="0.35"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  <c r="AO389" s="25"/>
      <c r="AP389" s="25"/>
      <c r="AQ389" s="25"/>
      <c r="AR389" s="25"/>
      <c r="AS389" s="25"/>
      <c r="AT389" s="25"/>
      <c r="AU389" s="25"/>
      <c r="AV389" s="25"/>
      <c r="AW389" s="25"/>
      <c r="AX389" s="25"/>
      <c r="AY389" s="25"/>
      <c r="AZ389" s="25"/>
      <c r="BA389" s="25"/>
      <c r="BB389" s="25"/>
      <c r="BC389" s="25"/>
      <c r="BD389" s="25"/>
      <c r="BE389" s="25"/>
      <c r="BF389" s="25"/>
      <c r="BG389" s="25"/>
      <c r="BH389" s="25"/>
      <c r="BI389" s="25"/>
    </row>
    <row r="390" spans="2:61" x14ac:dyDescent="0.35"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  <c r="AO390" s="25"/>
      <c r="AP390" s="25"/>
      <c r="AQ390" s="25"/>
      <c r="AR390" s="25"/>
      <c r="AS390" s="25"/>
      <c r="AT390" s="25"/>
      <c r="AU390" s="25"/>
      <c r="AV390" s="25"/>
      <c r="AW390" s="25"/>
      <c r="AX390" s="25"/>
      <c r="AY390" s="25"/>
      <c r="AZ390" s="25"/>
      <c r="BA390" s="25"/>
      <c r="BB390" s="25"/>
      <c r="BC390" s="25"/>
      <c r="BD390" s="25"/>
      <c r="BE390" s="25"/>
      <c r="BF390" s="25"/>
      <c r="BG390" s="25"/>
      <c r="BH390" s="25"/>
      <c r="BI390" s="25"/>
    </row>
    <row r="391" spans="2:61" x14ac:dyDescent="0.35"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  <c r="AO391" s="25"/>
      <c r="AP391" s="25"/>
      <c r="AQ391" s="25"/>
      <c r="AR391" s="25"/>
      <c r="AS391" s="25"/>
      <c r="AT391" s="25"/>
      <c r="AU391" s="25"/>
      <c r="AV391" s="25"/>
      <c r="AW391" s="25"/>
      <c r="AX391" s="25"/>
      <c r="AY391" s="25"/>
      <c r="AZ391" s="25"/>
      <c r="BA391" s="25"/>
      <c r="BB391" s="25"/>
      <c r="BC391" s="25"/>
      <c r="BD391" s="25"/>
      <c r="BE391" s="25"/>
      <c r="BF391" s="25"/>
      <c r="BG391" s="25"/>
      <c r="BH391" s="25"/>
      <c r="BI391" s="25"/>
    </row>
    <row r="392" spans="2:61" x14ac:dyDescent="0.35"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  <c r="AO392" s="25"/>
      <c r="AP392" s="25"/>
      <c r="AQ392" s="25"/>
      <c r="AR392" s="25"/>
      <c r="AS392" s="25"/>
      <c r="AT392" s="25"/>
      <c r="AU392" s="25"/>
      <c r="AV392" s="25"/>
      <c r="AW392" s="25"/>
      <c r="AX392" s="25"/>
      <c r="AY392" s="25"/>
      <c r="AZ392" s="25"/>
      <c r="BA392" s="25"/>
      <c r="BB392" s="25"/>
      <c r="BC392" s="25"/>
      <c r="BD392" s="25"/>
      <c r="BE392" s="25"/>
      <c r="BF392" s="25"/>
      <c r="BG392" s="25"/>
      <c r="BH392" s="25"/>
      <c r="BI392" s="25"/>
    </row>
    <row r="393" spans="2:61" x14ac:dyDescent="0.35"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  <c r="AO393" s="25"/>
      <c r="AP393" s="25"/>
      <c r="AQ393" s="25"/>
      <c r="AR393" s="25"/>
      <c r="AS393" s="25"/>
      <c r="AT393" s="25"/>
      <c r="AU393" s="25"/>
      <c r="AV393" s="25"/>
      <c r="AW393" s="25"/>
      <c r="AX393" s="25"/>
      <c r="AY393" s="25"/>
      <c r="AZ393" s="25"/>
      <c r="BA393" s="25"/>
      <c r="BB393" s="25"/>
      <c r="BC393" s="25"/>
      <c r="BD393" s="25"/>
      <c r="BE393" s="25"/>
      <c r="BF393" s="25"/>
      <c r="BG393" s="25"/>
      <c r="BH393" s="25"/>
      <c r="BI393" s="25"/>
    </row>
    <row r="394" spans="2:61" x14ac:dyDescent="0.35"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  <c r="AO394" s="25"/>
      <c r="AP394" s="25"/>
      <c r="AQ394" s="25"/>
      <c r="AR394" s="25"/>
      <c r="AS394" s="25"/>
      <c r="AT394" s="25"/>
      <c r="AU394" s="25"/>
      <c r="AV394" s="25"/>
      <c r="AW394" s="25"/>
      <c r="AX394" s="25"/>
      <c r="AY394" s="25"/>
      <c r="AZ394" s="25"/>
      <c r="BA394" s="25"/>
      <c r="BB394" s="25"/>
      <c r="BC394" s="25"/>
      <c r="BD394" s="25"/>
      <c r="BE394" s="25"/>
      <c r="BF394" s="25"/>
      <c r="BG394" s="25"/>
      <c r="BH394" s="25"/>
      <c r="BI394" s="25"/>
    </row>
    <row r="395" spans="2:61" x14ac:dyDescent="0.35"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  <c r="AO395" s="25"/>
      <c r="AP395" s="25"/>
      <c r="AQ395" s="25"/>
      <c r="AR395" s="25"/>
      <c r="AS395" s="25"/>
      <c r="AT395" s="25"/>
      <c r="AU395" s="25"/>
      <c r="AV395" s="25"/>
      <c r="AW395" s="25"/>
      <c r="AX395" s="25"/>
      <c r="AY395" s="25"/>
      <c r="AZ395" s="25"/>
      <c r="BA395" s="25"/>
      <c r="BB395" s="25"/>
      <c r="BC395" s="25"/>
      <c r="BD395" s="25"/>
      <c r="BE395" s="25"/>
      <c r="BF395" s="25"/>
      <c r="BG395" s="25"/>
      <c r="BH395" s="25"/>
      <c r="BI395" s="25"/>
    </row>
    <row r="396" spans="2:61" x14ac:dyDescent="0.35"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  <c r="AO396" s="25"/>
      <c r="AP396" s="25"/>
      <c r="AQ396" s="25"/>
      <c r="AR396" s="25"/>
      <c r="AS396" s="25"/>
      <c r="AT396" s="25"/>
      <c r="AU396" s="25"/>
      <c r="AV396" s="25"/>
      <c r="AW396" s="25"/>
      <c r="AX396" s="25"/>
      <c r="AY396" s="25"/>
      <c r="AZ396" s="25"/>
      <c r="BA396" s="25"/>
      <c r="BB396" s="25"/>
      <c r="BC396" s="25"/>
      <c r="BD396" s="25"/>
      <c r="BE396" s="25"/>
      <c r="BF396" s="25"/>
      <c r="BG396" s="25"/>
      <c r="BH396" s="25"/>
      <c r="BI396" s="25"/>
    </row>
    <row r="397" spans="2:61" x14ac:dyDescent="0.35"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  <c r="AO397" s="25"/>
      <c r="AP397" s="25"/>
      <c r="AQ397" s="25"/>
      <c r="AR397" s="25"/>
      <c r="AS397" s="25"/>
      <c r="AT397" s="25"/>
      <c r="AU397" s="25"/>
      <c r="AV397" s="25"/>
      <c r="AW397" s="25"/>
      <c r="AX397" s="25"/>
      <c r="AY397" s="25"/>
      <c r="AZ397" s="25"/>
      <c r="BA397" s="25"/>
      <c r="BB397" s="25"/>
      <c r="BC397" s="25"/>
      <c r="BD397" s="25"/>
      <c r="BE397" s="25"/>
      <c r="BF397" s="25"/>
      <c r="BG397" s="25"/>
      <c r="BH397" s="25"/>
      <c r="BI397" s="25"/>
    </row>
    <row r="398" spans="2:61" x14ac:dyDescent="0.35"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  <c r="AO398" s="25"/>
      <c r="AP398" s="25"/>
      <c r="AQ398" s="25"/>
      <c r="AR398" s="25"/>
      <c r="AS398" s="25"/>
      <c r="AT398" s="25"/>
      <c r="AU398" s="25"/>
      <c r="AV398" s="25"/>
      <c r="AW398" s="25"/>
      <c r="AX398" s="25"/>
      <c r="AY398" s="25"/>
      <c r="AZ398" s="25"/>
      <c r="BA398" s="25"/>
      <c r="BB398" s="25"/>
      <c r="BC398" s="25"/>
      <c r="BD398" s="25"/>
      <c r="BE398" s="25"/>
      <c r="BF398" s="25"/>
      <c r="BG398" s="25"/>
      <c r="BH398" s="25"/>
      <c r="BI398" s="25"/>
    </row>
    <row r="399" spans="2:61" x14ac:dyDescent="0.35"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  <c r="AO399" s="25"/>
      <c r="AP399" s="25"/>
      <c r="AQ399" s="25"/>
      <c r="AR399" s="25"/>
      <c r="AS399" s="25"/>
      <c r="AT399" s="25"/>
      <c r="AU399" s="25"/>
      <c r="AV399" s="25"/>
      <c r="AW399" s="25"/>
      <c r="AX399" s="25"/>
      <c r="AY399" s="25"/>
      <c r="AZ399" s="25"/>
      <c r="BA399" s="25"/>
      <c r="BB399" s="25"/>
      <c r="BC399" s="25"/>
      <c r="BD399" s="25"/>
      <c r="BE399" s="25"/>
      <c r="BF399" s="25"/>
      <c r="BG399" s="25"/>
      <c r="BH399" s="25"/>
      <c r="BI399" s="25"/>
    </row>
    <row r="400" spans="2:61" x14ac:dyDescent="0.35"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  <c r="AO400" s="25"/>
      <c r="AP400" s="25"/>
      <c r="AQ400" s="25"/>
      <c r="AR400" s="25"/>
      <c r="AS400" s="25"/>
      <c r="AT400" s="25"/>
      <c r="AU400" s="25"/>
      <c r="AV400" s="25"/>
      <c r="AW400" s="25"/>
      <c r="AX400" s="25"/>
      <c r="AY400" s="25"/>
      <c r="AZ400" s="25"/>
      <c r="BA400" s="25"/>
      <c r="BB400" s="25"/>
      <c r="BC400" s="25"/>
      <c r="BD400" s="25"/>
      <c r="BE400" s="25"/>
      <c r="BF400" s="25"/>
      <c r="BG400" s="25"/>
      <c r="BH400" s="25"/>
      <c r="BI400" s="25"/>
    </row>
    <row r="401" spans="2:61" x14ac:dyDescent="0.35"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  <c r="AO401" s="25"/>
      <c r="AP401" s="25"/>
      <c r="AQ401" s="25"/>
      <c r="AR401" s="25"/>
      <c r="AS401" s="25"/>
      <c r="AT401" s="25"/>
      <c r="AU401" s="25"/>
      <c r="AV401" s="25"/>
      <c r="AW401" s="25"/>
      <c r="AX401" s="25"/>
      <c r="AY401" s="25"/>
      <c r="AZ401" s="25"/>
      <c r="BA401" s="25"/>
      <c r="BB401" s="25"/>
      <c r="BC401" s="25"/>
      <c r="BD401" s="25"/>
      <c r="BE401" s="25"/>
      <c r="BF401" s="25"/>
      <c r="BG401" s="25"/>
      <c r="BH401" s="25"/>
      <c r="BI401" s="25"/>
    </row>
    <row r="402" spans="2:61" x14ac:dyDescent="0.35"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  <c r="AO402" s="25"/>
      <c r="AP402" s="25"/>
      <c r="AQ402" s="25"/>
      <c r="AR402" s="25"/>
      <c r="AS402" s="25"/>
      <c r="AT402" s="25"/>
      <c r="AU402" s="25"/>
      <c r="AV402" s="25"/>
      <c r="AW402" s="25"/>
      <c r="AX402" s="25"/>
      <c r="AY402" s="25"/>
      <c r="AZ402" s="25"/>
      <c r="BA402" s="25"/>
      <c r="BB402" s="25"/>
      <c r="BC402" s="25"/>
      <c r="BD402" s="25"/>
      <c r="BE402" s="25"/>
      <c r="BF402" s="25"/>
      <c r="BG402" s="25"/>
      <c r="BH402" s="25"/>
      <c r="BI402" s="25"/>
    </row>
    <row r="403" spans="2:61" x14ac:dyDescent="0.35"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  <c r="AO403" s="25"/>
      <c r="AP403" s="25"/>
      <c r="AQ403" s="25"/>
      <c r="AR403" s="25"/>
      <c r="AS403" s="25"/>
      <c r="AT403" s="25"/>
      <c r="AU403" s="25"/>
      <c r="AV403" s="25"/>
      <c r="AW403" s="25"/>
      <c r="AX403" s="25"/>
      <c r="AY403" s="25"/>
      <c r="AZ403" s="25"/>
      <c r="BA403" s="25"/>
      <c r="BB403" s="25"/>
      <c r="BC403" s="25"/>
      <c r="BD403" s="25"/>
      <c r="BE403" s="25"/>
      <c r="BF403" s="25"/>
      <c r="BG403" s="25"/>
      <c r="BH403" s="25"/>
      <c r="BI403" s="25"/>
    </row>
    <row r="404" spans="2:61" x14ac:dyDescent="0.35"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  <c r="AO404" s="25"/>
      <c r="AP404" s="25"/>
      <c r="AQ404" s="25"/>
      <c r="AR404" s="25"/>
      <c r="AS404" s="25"/>
      <c r="AT404" s="25"/>
      <c r="AU404" s="25"/>
      <c r="AV404" s="25"/>
      <c r="AW404" s="25"/>
      <c r="AX404" s="25"/>
      <c r="AY404" s="25"/>
      <c r="AZ404" s="25"/>
      <c r="BA404" s="25"/>
      <c r="BB404" s="25"/>
      <c r="BC404" s="25"/>
      <c r="BD404" s="25"/>
      <c r="BE404" s="25"/>
      <c r="BF404" s="25"/>
      <c r="BG404" s="25"/>
      <c r="BH404" s="25"/>
      <c r="BI404" s="25"/>
    </row>
    <row r="405" spans="2:61" x14ac:dyDescent="0.35"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  <c r="AO405" s="25"/>
      <c r="AP405" s="25"/>
      <c r="AQ405" s="25"/>
      <c r="AR405" s="25"/>
      <c r="AS405" s="25"/>
      <c r="AT405" s="25"/>
      <c r="AU405" s="25"/>
      <c r="AV405" s="25"/>
      <c r="AW405" s="25"/>
      <c r="AX405" s="25"/>
      <c r="AY405" s="25"/>
      <c r="AZ405" s="25"/>
      <c r="BA405" s="25"/>
      <c r="BB405" s="25"/>
      <c r="BC405" s="25"/>
      <c r="BD405" s="25"/>
      <c r="BE405" s="25"/>
      <c r="BF405" s="25"/>
      <c r="BG405" s="25"/>
      <c r="BH405" s="25"/>
      <c r="BI405" s="25"/>
    </row>
    <row r="406" spans="2:61" x14ac:dyDescent="0.35"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  <c r="AO406" s="25"/>
      <c r="AP406" s="25"/>
      <c r="AQ406" s="25"/>
      <c r="AR406" s="25"/>
      <c r="AS406" s="25"/>
      <c r="AT406" s="25"/>
      <c r="AU406" s="25"/>
      <c r="AV406" s="25"/>
      <c r="AW406" s="25"/>
      <c r="AX406" s="25"/>
      <c r="AY406" s="25"/>
      <c r="AZ406" s="25"/>
      <c r="BA406" s="25"/>
      <c r="BB406" s="25"/>
      <c r="BC406" s="25"/>
      <c r="BD406" s="25"/>
      <c r="BE406" s="25"/>
      <c r="BF406" s="25"/>
      <c r="BG406" s="25"/>
      <c r="BH406" s="25"/>
      <c r="BI406" s="25"/>
    </row>
    <row r="407" spans="2:61" x14ac:dyDescent="0.35"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  <c r="AO407" s="25"/>
      <c r="AP407" s="25"/>
      <c r="AQ407" s="25"/>
      <c r="AR407" s="25"/>
      <c r="AS407" s="25"/>
      <c r="AT407" s="25"/>
      <c r="AU407" s="25"/>
      <c r="AV407" s="25"/>
      <c r="AW407" s="25"/>
      <c r="AX407" s="25"/>
      <c r="AY407" s="25"/>
      <c r="AZ407" s="25"/>
      <c r="BA407" s="25"/>
      <c r="BB407" s="25"/>
      <c r="BC407" s="25"/>
      <c r="BD407" s="25"/>
      <c r="BE407" s="25"/>
      <c r="BF407" s="25"/>
      <c r="BG407" s="25"/>
      <c r="BH407" s="25"/>
      <c r="BI407" s="25"/>
    </row>
    <row r="408" spans="2:61" x14ac:dyDescent="0.35"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  <c r="AO408" s="25"/>
      <c r="AP408" s="25"/>
      <c r="AQ408" s="25"/>
      <c r="AR408" s="25"/>
      <c r="AS408" s="25"/>
      <c r="AT408" s="25"/>
      <c r="AU408" s="25"/>
      <c r="AV408" s="25"/>
      <c r="AW408" s="25"/>
      <c r="AX408" s="25"/>
      <c r="AY408" s="25"/>
      <c r="AZ408" s="25"/>
      <c r="BA408" s="25"/>
      <c r="BB408" s="25"/>
      <c r="BC408" s="25"/>
      <c r="BD408" s="25"/>
      <c r="BE408" s="25"/>
      <c r="BF408" s="25"/>
      <c r="BG408" s="25"/>
      <c r="BH408" s="25"/>
      <c r="BI408" s="25"/>
    </row>
    <row r="409" spans="2:61" x14ac:dyDescent="0.35"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  <c r="AO409" s="25"/>
      <c r="AP409" s="25"/>
      <c r="AQ409" s="25"/>
      <c r="AR409" s="25"/>
      <c r="AS409" s="25"/>
      <c r="AT409" s="25"/>
      <c r="AU409" s="25"/>
      <c r="AV409" s="25"/>
      <c r="AW409" s="25"/>
      <c r="AX409" s="25"/>
      <c r="AY409" s="25"/>
      <c r="AZ409" s="25"/>
      <c r="BA409" s="25"/>
      <c r="BB409" s="25"/>
      <c r="BC409" s="25"/>
      <c r="BD409" s="25"/>
      <c r="BE409" s="25"/>
      <c r="BF409" s="25"/>
      <c r="BG409" s="25"/>
      <c r="BH409" s="25"/>
      <c r="BI409" s="25"/>
    </row>
    <row r="410" spans="2:61" x14ac:dyDescent="0.35"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  <c r="AO410" s="25"/>
      <c r="AP410" s="25"/>
      <c r="AQ410" s="25"/>
      <c r="AR410" s="25"/>
      <c r="AS410" s="25"/>
      <c r="AT410" s="25"/>
      <c r="AU410" s="25"/>
      <c r="AV410" s="25"/>
      <c r="AW410" s="25"/>
      <c r="AX410" s="25"/>
      <c r="AY410" s="25"/>
      <c r="AZ410" s="25"/>
      <c r="BA410" s="25"/>
      <c r="BB410" s="25"/>
      <c r="BC410" s="25"/>
      <c r="BD410" s="25"/>
      <c r="BE410" s="25"/>
      <c r="BF410" s="25"/>
      <c r="BG410" s="25"/>
      <c r="BH410" s="25"/>
      <c r="BI410" s="25"/>
    </row>
    <row r="411" spans="2:61" x14ac:dyDescent="0.35"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  <c r="AO411" s="25"/>
      <c r="AP411" s="25"/>
      <c r="AQ411" s="25"/>
      <c r="AR411" s="25"/>
      <c r="AS411" s="25"/>
      <c r="AT411" s="25"/>
      <c r="AU411" s="25"/>
      <c r="AV411" s="25"/>
      <c r="AW411" s="25"/>
      <c r="AX411" s="25"/>
      <c r="AY411" s="25"/>
      <c r="AZ411" s="25"/>
      <c r="BA411" s="25"/>
      <c r="BB411" s="25"/>
      <c r="BC411" s="25"/>
      <c r="BD411" s="25"/>
      <c r="BE411" s="25"/>
      <c r="BF411" s="25"/>
      <c r="BG411" s="25"/>
      <c r="BH411" s="25"/>
      <c r="BI411" s="25"/>
    </row>
    <row r="412" spans="2:61" x14ac:dyDescent="0.35"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  <c r="AO412" s="25"/>
      <c r="AP412" s="25"/>
      <c r="AQ412" s="25"/>
      <c r="AR412" s="25"/>
      <c r="AS412" s="25"/>
      <c r="AT412" s="25"/>
      <c r="AU412" s="25"/>
      <c r="AV412" s="25"/>
      <c r="AW412" s="25"/>
      <c r="AX412" s="25"/>
      <c r="AY412" s="25"/>
      <c r="AZ412" s="25"/>
      <c r="BA412" s="25"/>
      <c r="BB412" s="25"/>
      <c r="BC412" s="25"/>
      <c r="BD412" s="25"/>
      <c r="BE412" s="25"/>
      <c r="BF412" s="25"/>
      <c r="BG412" s="25"/>
      <c r="BH412" s="25"/>
      <c r="BI412" s="25"/>
    </row>
    <row r="413" spans="2:61" x14ac:dyDescent="0.35"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  <c r="AO413" s="25"/>
      <c r="AP413" s="25"/>
      <c r="AQ413" s="25"/>
      <c r="AR413" s="25"/>
      <c r="AS413" s="25"/>
      <c r="AT413" s="25"/>
      <c r="AU413" s="25"/>
      <c r="AV413" s="25"/>
      <c r="AW413" s="25"/>
      <c r="AX413" s="25"/>
      <c r="AY413" s="25"/>
      <c r="AZ413" s="25"/>
      <c r="BA413" s="25"/>
      <c r="BB413" s="25"/>
      <c r="BC413" s="25"/>
      <c r="BD413" s="25"/>
      <c r="BE413" s="25"/>
      <c r="BF413" s="25"/>
      <c r="BG413" s="25"/>
      <c r="BH413" s="25"/>
      <c r="BI413" s="25"/>
    </row>
    <row r="414" spans="2:61" x14ac:dyDescent="0.35"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  <c r="AO414" s="25"/>
      <c r="AP414" s="25"/>
      <c r="AQ414" s="25"/>
      <c r="AR414" s="25"/>
      <c r="AS414" s="25"/>
      <c r="AT414" s="25"/>
      <c r="AU414" s="25"/>
      <c r="AV414" s="25"/>
      <c r="AW414" s="25"/>
      <c r="AX414" s="25"/>
      <c r="AY414" s="25"/>
      <c r="AZ414" s="25"/>
      <c r="BA414" s="25"/>
      <c r="BB414" s="25"/>
      <c r="BC414" s="25"/>
      <c r="BD414" s="25"/>
      <c r="BE414" s="25"/>
      <c r="BF414" s="25"/>
      <c r="BG414" s="25"/>
      <c r="BH414" s="25"/>
      <c r="BI414" s="25"/>
    </row>
    <row r="415" spans="2:61" x14ac:dyDescent="0.35"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  <c r="AO415" s="25"/>
      <c r="AP415" s="25"/>
      <c r="AQ415" s="25"/>
      <c r="AR415" s="25"/>
      <c r="AS415" s="25"/>
      <c r="AT415" s="25"/>
      <c r="AU415" s="25"/>
      <c r="AV415" s="25"/>
      <c r="AW415" s="25"/>
      <c r="AX415" s="25"/>
      <c r="AY415" s="25"/>
      <c r="AZ415" s="25"/>
      <c r="BA415" s="25"/>
      <c r="BB415" s="25"/>
      <c r="BC415" s="25"/>
      <c r="BD415" s="25"/>
      <c r="BE415" s="25"/>
      <c r="BF415" s="25"/>
      <c r="BG415" s="25"/>
      <c r="BH415" s="25"/>
      <c r="BI415" s="25"/>
    </row>
    <row r="416" spans="2:61" x14ac:dyDescent="0.35"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  <c r="AO416" s="25"/>
      <c r="AP416" s="25"/>
      <c r="AQ416" s="25"/>
      <c r="AR416" s="25"/>
      <c r="AS416" s="25"/>
      <c r="AT416" s="25"/>
      <c r="AU416" s="25"/>
      <c r="AV416" s="25"/>
      <c r="AW416" s="25"/>
      <c r="AX416" s="25"/>
      <c r="AY416" s="25"/>
      <c r="AZ416" s="25"/>
      <c r="BA416" s="25"/>
      <c r="BB416" s="25"/>
      <c r="BC416" s="25"/>
      <c r="BD416" s="25"/>
      <c r="BE416" s="25"/>
      <c r="BF416" s="25"/>
      <c r="BG416" s="25"/>
      <c r="BH416" s="25"/>
      <c r="BI416" s="25"/>
    </row>
    <row r="417" spans="2:61" x14ac:dyDescent="0.35"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  <c r="AO417" s="25"/>
      <c r="AP417" s="25"/>
      <c r="AQ417" s="25"/>
      <c r="AR417" s="25"/>
      <c r="AS417" s="25"/>
      <c r="AT417" s="25"/>
      <c r="AU417" s="25"/>
      <c r="AV417" s="25"/>
      <c r="AW417" s="25"/>
      <c r="AX417" s="25"/>
      <c r="AY417" s="25"/>
      <c r="AZ417" s="25"/>
      <c r="BA417" s="25"/>
      <c r="BB417" s="25"/>
      <c r="BC417" s="25"/>
      <c r="BD417" s="25"/>
      <c r="BE417" s="25"/>
      <c r="BF417" s="25"/>
      <c r="BG417" s="25"/>
      <c r="BH417" s="25"/>
      <c r="BI417" s="25"/>
    </row>
    <row r="418" spans="2:61" x14ac:dyDescent="0.35"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  <c r="AO418" s="25"/>
      <c r="AP418" s="25"/>
      <c r="AQ418" s="25"/>
      <c r="AR418" s="25"/>
      <c r="AS418" s="25"/>
      <c r="AT418" s="25"/>
      <c r="AU418" s="25"/>
      <c r="AV418" s="25"/>
      <c r="AW418" s="25"/>
      <c r="AX418" s="25"/>
      <c r="AY418" s="25"/>
      <c r="AZ418" s="25"/>
      <c r="BA418" s="25"/>
      <c r="BB418" s="25"/>
      <c r="BC418" s="25"/>
      <c r="BD418" s="25"/>
      <c r="BE418" s="25"/>
      <c r="BF418" s="25"/>
      <c r="BG418" s="25"/>
      <c r="BH418" s="25"/>
      <c r="BI418" s="25"/>
    </row>
    <row r="419" spans="2:61" x14ac:dyDescent="0.35"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  <c r="AO419" s="25"/>
      <c r="AP419" s="25"/>
      <c r="AQ419" s="25"/>
      <c r="AR419" s="25"/>
      <c r="AS419" s="25"/>
      <c r="AT419" s="25"/>
      <c r="AU419" s="25"/>
      <c r="AV419" s="25"/>
      <c r="AW419" s="25"/>
      <c r="AX419" s="25"/>
      <c r="AY419" s="25"/>
      <c r="AZ419" s="25"/>
      <c r="BA419" s="25"/>
      <c r="BB419" s="25"/>
      <c r="BC419" s="25"/>
      <c r="BD419" s="25"/>
      <c r="BE419" s="25"/>
      <c r="BF419" s="25"/>
      <c r="BG419" s="25"/>
      <c r="BH419" s="25"/>
      <c r="BI419" s="25"/>
    </row>
    <row r="420" spans="2:61" x14ac:dyDescent="0.35"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  <c r="AO420" s="25"/>
      <c r="AP420" s="25"/>
      <c r="AQ420" s="25"/>
      <c r="AR420" s="25"/>
      <c r="AS420" s="25"/>
      <c r="AT420" s="25"/>
      <c r="AU420" s="25"/>
      <c r="AV420" s="25"/>
      <c r="AW420" s="25"/>
      <c r="AX420" s="25"/>
      <c r="AY420" s="25"/>
      <c r="AZ420" s="25"/>
      <c r="BA420" s="25"/>
      <c r="BB420" s="25"/>
      <c r="BC420" s="25"/>
      <c r="BD420" s="25"/>
      <c r="BE420" s="25"/>
      <c r="BF420" s="25"/>
      <c r="BG420" s="25"/>
      <c r="BH420" s="25"/>
      <c r="BI420" s="25"/>
    </row>
    <row r="421" spans="2:61" x14ac:dyDescent="0.35"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  <c r="AO421" s="25"/>
      <c r="AP421" s="25"/>
      <c r="AQ421" s="25"/>
      <c r="AR421" s="25"/>
      <c r="AS421" s="25"/>
      <c r="AT421" s="25"/>
      <c r="AU421" s="25"/>
      <c r="AV421" s="25"/>
      <c r="AW421" s="25"/>
      <c r="AX421" s="25"/>
      <c r="AY421" s="25"/>
      <c r="AZ421" s="25"/>
      <c r="BA421" s="25"/>
      <c r="BB421" s="25"/>
      <c r="BC421" s="25"/>
      <c r="BD421" s="25"/>
      <c r="BE421" s="25"/>
      <c r="BF421" s="25"/>
      <c r="BG421" s="25"/>
      <c r="BH421" s="25"/>
      <c r="BI421" s="25"/>
    </row>
    <row r="422" spans="2:61" x14ac:dyDescent="0.35"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  <c r="AO422" s="25"/>
      <c r="AP422" s="25"/>
      <c r="AQ422" s="25"/>
      <c r="AR422" s="25"/>
      <c r="AS422" s="25"/>
      <c r="AT422" s="25"/>
      <c r="AU422" s="25"/>
      <c r="AV422" s="25"/>
      <c r="AW422" s="25"/>
      <c r="AX422" s="25"/>
      <c r="AY422" s="25"/>
      <c r="AZ422" s="25"/>
      <c r="BA422" s="25"/>
      <c r="BB422" s="25"/>
      <c r="BC422" s="25"/>
      <c r="BD422" s="25"/>
      <c r="BE422" s="25"/>
      <c r="BF422" s="25"/>
      <c r="BG422" s="25"/>
      <c r="BH422" s="25"/>
      <c r="BI422" s="25"/>
    </row>
    <row r="423" spans="2:61" x14ac:dyDescent="0.35"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  <c r="AO423" s="25"/>
      <c r="AP423" s="25"/>
      <c r="AQ423" s="25"/>
      <c r="AR423" s="25"/>
      <c r="AS423" s="25"/>
      <c r="AT423" s="25"/>
      <c r="AU423" s="25"/>
      <c r="AV423" s="25"/>
      <c r="AW423" s="25"/>
      <c r="AX423" s="25"/>
      <c r="AY423" s="25"/>
      <c r="AZ423" s="25"/>
      <c r="BA423" s="25"/>
      <c r="BB423" s="25"/>
      <c r="BC423" s="25"/>
      <c r="BD423" s="25"/>
      <c r="BE423" s="25"/>
      <c r="BF423" s="25"/>
      <c r="BG423" s="25"/>
      <c r="BH423" s="25"/>
      <c r="BI423" s="25"/>
    </row>
    <row r="424" spans="2:61" x14ac:dyDescent="0.35"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  <c r="AO424" s="25"/>
      <c r="AP424" s="25"/>
      <c r="AQ424" s="25"/>
      <c r="AR424" s="25"/>
      <c r="AS424" s="25"/>
      <c r="AT424" s="25"/>
      <c r="AU424" s="25"/>
      <c r="AV424" s="25"/>
      <c r="AW424" s="25"/>
      <c r="AX424" s="25"/>
      <c r="AY424" s="25"/>
      <c r="AZ424" s="25"/>
      <c r="BA424" s="25"/>
      <c r="BB424" s="25"/>
      <c r="BC424" s="25"/>
      <c r="BD424" s="25"/>
      <c r="BE424" s="25"/>
      <c r="BF424" s="25"/>
      <c r="BG424" s="25"/>
      <c r="BH424" s="25"/>
      <c r="BI424" s="25"/>
    </row>
    <row r="425" spans="2:61" x14ac:dyDescent="0.35"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  <c r="AO425" s="25"/>
      <c r="AP425" s="25"/>
      <c r="AQ425" s="25"/>
      <c r="AR425" s="25"/>
      <c r="AS425" s="25"/>
      <c r="AT425" s="25"/>
      <c r="AU425" s="25"/>
      <c r="AV425" s="25"/>
      <c r="AW425" s="25"/>
      <c r="AX425" s="25"/>
      <c r="AY425" s="25"/>
      <c r="AZ425" s="25"/>
      <c r="BA425" s="25"/>
      <c r="BB425" s="25"/>
      <c r="BC425" s="25"/>
      <c r="BD425" s="25"/>
      <c r="BE425" s="25"/>
      <c r="BF425" s="25"/>
      <c r="BG425" s="25"/>
      <c r="BH425" s="25"/>
      <c r="BI425" s="25"/>
    </row>
    <row r="426" spans="2:61" x14ac:dyDescent="0.35"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  <c r="AO426" s="25"/>
      <c r="AP426" s="25"/>
      <c r="AQ426" s="25"/>
      <c r="AR426" s="25"/>
      <c r="AS426" s="25"/>
      <c r="AT426" s="25"/>
      <c r="AU426" s="25"/>
      <c r="AV426" s="25"/>
      <c r="AW426" s="25"/>
      <c r="AX426" s="25"/>
      <c r="AY426" s="25"/>
      <c r="AZ426" s="25"/>
      <c r="BA426" s="25"/>
      <c r="BB426" s="25"/>
      <c r="BC426" s="25"/>
      <c r="BD426" s="25"/>
      <c r="BE426" s="25"/>
      <c r="BF426" s="25"/>
      <c r="BG426" s="25"/>
      <c r="BH426" s="25"/>
      <c r="BI426" s="25"/>
    </row>
    <row r="427" spans="2:61" x14ac:dyDescent="0.35"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  <c r="AO427" s="25"/>
      <c r="AP427" s="25"/>
      <c r="AQ427" s="25"/>
      <c r="AR427" s="25"/>
      <c r="AS427" s="25"/>
      <c r="AT427" s="25"/>
      <c r="AU427" s="25"/>
      <c r="AV427" s="25"/>
      <c r="AW427" s="25"/>
      <c r="AX427" s="25"/>
      <c r="AY427" s="25"/>
      <c r="AZ427" s="25"/>
      <c r="BA427" s="25"/>
      <c r="BB427" s="25"/>
      <c r="BC427" s="25"/>
      <c r="BD427" s="25"/>
      <c r="BE427" s="25"/>
      <c r="BF427" s="25"/>
      <c r="BG427" s="25"/>
      <c r="BH427" s="25"/>
      <c r="BI427" s="25"/>
    </row>
    <row r="428" spans="2:61" x14ac:dyDescent="0.35"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  <c r="AO428" s="25"/>
      <c r="AP428" s="25"/>
      <c r="AQ428" s="25"/>
      <c r="AR428" s="25"/>
      <c r="AS428" s="25"/>
      <c r="AT428" s="25"/>
      <c r="AU428" s="25"/>
      <c r="AV428" s="25"/>
      <c r="AW428" s="25"/>
      <c r="AX428" s="25"/>
      <c r="AY428" s="25"/>
      <c r="AZ428" s="25"/>
      <c r="BA428" s="25"/>
      <c r="BB428" s="25"/>
      <c r="BC428" s="25"/>
      <c r="BD428" s="25"/>
      <c r="BE428" s="25"/>
      <c r="BF428" s="25"/>
      <c r="BG428" s="25"/>
      <c r="BH428" s="25"/>
      <c r="BI428" s="25"/>
    </row>
    <row r="429" spans="2:61" x14ac:dyDescent="0.35"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  <c r="AO429" s="25"/>
      <c r="AP429" s="25"/>
      <c r="AQ429" s="25"/>
      <c r="AR429" s="25"/>
      <c r="AS429" s="25"/>
      <c r="AT429" s="25"/>
      <c r="AU429" s="25"/>
      <c r="AV429" s="25"/>
      <c r="AW429" s="25"/>
      <c r="AX429" s="25"/>
      <c r="AY429" s="25"/>
      <c r="AZ429" s="25"/>
      <c r="BA429" s="25"/>
      <c r="BB429" s="25"/>
      <c r="BC429" s="25"/>
      <c r="BD429" s="25"/>
      <c r="BE429" s="25"/>
      <c r="BF429" s="25"/>
      <c r="BG429" s="25"/>
      <c r="BH429" s="25"/>
      <c r="BI429" s="25"/>
    </row>
    <row r="430" spans="2:61" x14ac:dyDescent="0.35"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  <c r="AO430" s="25"/>
      <c r="AP430" s="25"/>
      <c r="AQ430" s="25"/>
      <c r="AR430" s="25"/>
      <c r="AS430" s="25"/>
      <c r="AT430" s="25"/>
      <c r="AU430" s="25"/>
      <c r="AV430" s="25"/>
      <c r="AW430" s="25"/>
      <c r="AX430" s="25"/>
      <c r="AY430" s="25"/>
      <c r="AZ430" s="25"/>
      <c r="BA430" s="25"/>
      <c r="BB430" s="25"/>
      <c r="BC430" s="25"/>
      <c r="BD430" s="25"/>
      <c r="BE430" s="25"/>
      <c r="BF430" s="25"/>
      <c r="BG430" s="25"/>
      <c r="BH430" s="25"/>
      <c r="BI430" s="25"/>
    </row>
    <row r="431" spans="2:61" x14ac:dyDescent="0.35"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  <c r="AO431" s="25"/>
      <c r="AP431" s="25"/>
      <c r="AQ431" s="25"/>
      <c r="AR431" s="25"/>
      <c r="AS431" s="25"/>
      <c r="AT431" s="25"/>
      <c r="AU431" s="25"/>
      <c r="AV431" s="25"/>
      <c r="AW431" s="25"/>
      <c r="AX431" s="25"/>
      <c r="AY431" s="25"/>
      <c r="AZ431" s="25"/>
      <c r="BA431" s="25"/>
      <c r="BB431" s="25"/>
      <c r="BC431" s="25"/>
      <c r="BD431" s="25"/>
      <c r="BE431" s="25"/>
      <c r="BF431" s="25"/>
      <c r="BG431" s="25"/>
      <c r="BH431" s="25"/>
      <c r="BI431" s="25"/>
    </row>
    <row r="432" spans="2:61" x14ac:dyDescent="0.35"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  <c r="AO432" s="25"/>
      <c r="AP432" s="25"/>
      <c r="AQ432" s="25"/>
      <c r="AR432" s="25"/>
      <c r="AS432" s="25"/>
      <c r="AT432" s="25"/>
      <c r="AU432" s="25"/>
      <c r="AV432" s="25"/>
      <c r="AW432" s="25"/>
      <c r="AX432" s="25"/>
      <c r="AY432" s="25"/>
      <c r="AZ432" s="25"/>
      <c r="BA432" s="25"/>
      <c r="BB432" s="25"/>
      <c r="BC432" s="25"/>
      <c r="BD432" s="25"/>
      <c r="BE432" s="25"/>
      <c r="BF432" s="25"/>
      <c r="BG432" s="25"/>
      <c r="BH432" s="25"/>
      <c r="BI432" s="25"/>
    </row>
    <row r="433" spans="2:61" x14ac:dyDescent="0.35"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  <c r="AO433" s="25"/>
      <c r="AP433" s="25"/>
      <c r="AQ433" s="25"/>
      <c r="AR433" s="25"/>
      <c r="AS433" s="25"/>
      <c r="AT433" s="25"/>
      <c r="AU433" s="25"/>
      <c r="AV433" s="25"/>
      <c r="AW433" s="25"/>
      <c r="AX433" s="25"/>
      <c r="AY433" s="25"/>
      <c r="AZ433" s="25"/>
      <c r="BA433" s="25"/>
      <c r="BB433" s="25"/>
      <c r="BC433" s="25"/>
      <c r="BD433" s="25"/>
      <c r="BE433" s="25"/>
      <c r="BF433" s="25"/>
      <c r="BG433" s="25"/>
      <c r="BH433" s="25"/>
      <c r="BI433" s="25"/>
    </row>
    <row r="434" spans="2:61" x14ac:dyDescent="0.35"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  <c r="AO434" s="25"/>
      <c r="AP434" s="25"/>
      <c r="AQ434" s="25"/>
      <c r="AR434" s="25"/>
      <c r="AS434" s="25"/>
      <c r="AT434" s="25"/>
      <c r="AU434" s="25"/>
      <c r="AV434" s="25"/>
      <c r="AW434" s="25"/>
      <c r="AX434" s="25"/>
      <c r="AY434" s="25"/>
      <c r="AZ434" s="25"/>
      <c r="BA434" s="25"/>
      <c r="BB434" s="25"/>
      <c r="BC434" s="25"/>
      <c r="BD434" s="25"/>
      <c r="BE434" s="25"/>
      <c r="BF434" s="25"/>
      <c r="BG434" s="25"/>
      <c r="BH434" s="25"/>
      <c r="BI434" s="25"/>
    </row>
    <row r="435" spans="2:61" x14ac:dyDescent="0.35"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  <c r="AO435" s="25"/>
      <c r="AP435" s="25"/>
      <c r="AQ435" s="25"/>
      <c r="AR435" s="25"/>
      <c r="AS435" s="25"/>
      <c r="AT435" s="25"/>
      <c r="AU435" s="25"/>
      <c r="AV435" s="25"/>
      <c r="AW435" s="25"/>
      <c r="AX435" s="25"/>
      <c r="AY435" s="25"/>
      <c r="AZ435" s="25"/>
      <c r="BA435" s="25"/>
      <c r="BB435" s="25"/>
      <c r="BC435" s="25"/>
      <c r="BD435" s="25"/>
      <c r="BE435" s="25"/>
      <c r="BF435" s="25"/>
      <c r="BG435" s="25"/>
      <c r="BH435" s="25"/>
      <c r="BI435" s="25"/>
    </row>
    <row r="436" spans="2:61" x14ac:dyDescent="0.35"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  <c r="AO436" s="25"/>
      <c r="AP436" s="25"/>
      <c r="AQ436" s="25"/>
      <c r="AR436" s="25"/>
      <c r="AS436" s="25"/>
      <c r="AT436" s="25"/>
      <c r="AU436" s="25"/>
      <c r="AV436" s="25"/>
      <c r="AW436" s="25"/>
      <c r="AX436" s="25"/>
      <c r="AY436" s="25"/>
      <c r="AZ436" s="25"/>
      <c r="BA436" s="25"/>
      <c r="BB436" s="25"/>
      <c r="BC436" s="25"/>
      <c r="BD436" s="25"/>
      <c r="BE436" s="25"/>
      <c r="BF436" s="25"/>
      <c r="BG436" s="25"/>
      <c r="BH436" s="25"/>
      <c r="BI436" s="25"/>
    </row>
    <row r="437" spans="2:61" x14ac:dyDescent="0.35"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  <c r="AO437" s="25"/>
      <c r="AP437" s="25"/>
      <c r="AQ437" s="25"/>
      <c r="AR437" s="25"/>
      <c r="AS437" s="25"/>
      <c r="AT437" s="25"/>
      <c r="AU437" s="25"/>
      <c r="AV437" s="25"/>
      <c r="AW437" s="25"/>
      <c r="AX437" s="25"/>
      <c r="AY437" s="25"/>
      <c r="AZ437" s="25"/>
      <c r="BA437" s="25"/>
      <c r="BB437" s="25"/>
      <c r="BC437" s="25"/>
      <c r="BD437" s="25"/>
      <c r="BE437" s="25"/>
      <c r="BF437" s="25"/>
      <c r="BG437" s="25"/>
      <c r="BH437" s="25"/>
      <c r="BI437" s="25"/>
    </row>
    <row r="438" spans="2:61" x14ac:dyDescent="0.35"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  <c r="AO438" s="25"/>
      <c r="AP438" s="25"/>
      <c r="AQ438" s="25"/>
      <c r="AR438" s="25"/>
      <c r="AS438" s="25"/>
      <c r="AT438" s="25"/>
      <c r="AU438" s="25"/>
      <c r="AV438" s="25"/>
      <c r="AW438" s="25"/>
      <c r="AX438" s="25"/>
      <c r="AY438" s="25"/>
      <c r="AZ438" s="25"/>
      <c r="BA438" s="25"/>
      <c r="BB438" s="25"/>
      <c r="BC438" s="25"/>
      <c r="BD438" s="25"/>
      <c r="BE438" s="25"/>
      <c r="BF438" s="25"/>
      <c r="BG438" s="25"/>
      <c r="BH438" s="25"/>
      <c r="BI438" s="25"/>
    </row>
    <row r="439" spans="2:61" x14ac:dyDescent="0.35"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  <c r="AO439" s="25"/>
      <c r="AP439" s="25"/>
      <c r="AQ439" s="25"/>
      <c r="AR439" s="25"/>
      <c r="AS439" s="25"/>
      <c r="AT439" s="25"/>
      <c r="AU439" s="25"/>
      <c r="AV439" s="25"/>
      <c r="AW439" s="25"/>
      <c r="AX439" s="25"/>
      <c r="AY439" s="25"/>
      <c r="AZ439" s="25"/>
      <c r="BA439" s="25"/>
      <c r="BB439" s="25"/>
      <c r="BC439" s="25"/>
      <c r="BD439" s="25"/>
      <c r="BE439" s="25"/>
      <c r="BF439" s="25"/>
      <c r="BG439" s="25"/>
      <c r="BH439" s="25"/>
      <c r="BI439" s="25"/>
    </row>
    <row r="440" spans="2:61" x14ac:dyDescent="0.35"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  <c r="AO440" s="25"/>
      <c r="AP440" s="25"/>
      <c r="AQ440" s="25"/>
      <c r="AR440" s="25"/>
      <c r="AS440" s="25"/>
      <c r="AT440" s="25"/>
      <c r="AU440" s="25"/>
      <c r="AV440" s="25"/>
      <c r="AW440" s="25"/>
      <c r="AX440" s="25"/>
      <c r="AY440" s="25"/>
      <c r="AZ440" s="25"/>
      <c r="BA440" s="25"/>
      <c r="BB440" s="25"/>
      <c r="BC440" s="25"/>
      <c r="BD440" s="25"/>
      <c r="BE440" s="25"/>
      <c r="BF440" s="25"/>
      <c r="BG440" s="25"/>
      <c r="BH440" s="25"/>
      <c r="BI440" s="25"/>
    </row>
    <row r="441" spans="2:61" x14ac:dyDescent="0.35"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  <c r="AO441" s="25"/>
      <c r="AP441" s="25"/>
      <c r="AQ441" s="25"/>
      <c r="AR441" s="25"/>
      <c r="AS441" s="25"/>
      <c r="AT441" s="25"/>
      <c r="AU441" s="25"/>
      <c r="AV441" s="25"/>
      <c r="AW441" s="25"/>
      <c r="AX441" s="25"/>
      <c r="AY441" s="25"/>
      <c r="AZ441" s="25"/>
      <c r="BA441" s="25"/>
      <c r="BB441" s="25"/>
      <c r="BC441" s="25"/>
      <c r="BD441" s="25"/>
      <c r="BE441" s="25"/>
      <c r="BF441" s="25"/>
      <c r="BG441" s="25"/>
      <c r="BH441" s="25"/>
      <c r="BI441" s="25"/>
    </row>
    <row r="442" spans="2:61" x14ac:dyDescent="0.35"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  <c r="AO442" s="25"/>
      <c r="AP442" s="25"/>
      <c r="AQ442" s="25"/>
      <c r="AR442" s="25"/>
      <c r="AS442" s="25"/>
      <c r="AT442" s="25"/>
      <c r="AU442" s="25"/>
      <c r="AV442" s="25"/>
      <c r="AW442" s="25"/>
      <c r="AX442" s="25"/>
      <c r="AY442" s="25"/>
      <c r="AZ442" s="25"/>
      <c r="BA442" s="25"/>
      <c r="BB442" s="25"/>
      <c r="BC442" s="25"/>
      <c r="BD442" s="25"/>
      <c r="BE442" s="25"/>
      <c r="BF442" s="25"/>
      <c r="BG442" s="25"/>
      <c r="BH442" s="25"/>
      <c r="BI442" s="25"/>
    </row>
    <row r="443" spans="2:61" x14ac:dyDescent="0.35"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  <c r="AO443" s="25"/>
      <c r="AP443" s="25"/>
      <c r="AQ443" s="25"/>
      <c r="AR443" s="25"/>
      <c r="AS443" s="25"/>
      <c r="AT443" s="25"/>
      <c r="AU443" s="25"/>
      <c r="AV443" s="25"/>
      <c r="AW443" s="25"/>
      <c r="AX443" s="25"/>
      <c r="AY443" s="25"/>
      <c r="AZ443" s="25"/>
      <c r="BA443" s="25"/>
      <c r="BB443" s="25"/>
      <c r="BC443" s="25"/>
      <c r="BD443" s="25"/>
      <c r="BE443" s="25"/>
      <c r="BF443" s="25"/>
      <c r="BG443" s="25"/>
      <c r="BH443" s="25"/>
      <c r="BI443" s="25"/>
    </row>
    <row r="444" spans="2:61" x14ac:dyDescent="0.35"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  <c r="AO444" s="25"/>
      <c r="AP444" s="25"/>
      <c r="AQ444" s="25"/>
      <c r="AR444" s="25"/>
      <c r="AS444" s="25"/>
      <c r="AT444" s="25"/>
      <c r="AU444" s="25"/>
      <c r="AV444" s="25"/>
      <c r="AW444" s="25"/>
      <c r="AX444" s="25"/>
      <c r="AY444" s="25"/>
      <c r="AZ444" s="25"/>
      <c r="BA444" s="25"/>
      <c r="BB444" s="25"/>
      <c r="BC444" s="25"/>
      <c r="BD444" s="25"/>
      <c r="BE444" s="25"/>
      <c r="BF444" s="25"/>
      <c r="BG444" s="25"/>
      <c r="BH444" s="25"/>
      <c r="BI444" s="25"/>
    </row>
    <row r="445" spans="2:61" x14ac:dyDescent="0.35"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  <c r="AO445" s="25"/>
      <c r="AP445" s="25"/>
      <c r="AQ445" s="25"/>
      <c r="AR445" s="25"/>
      <c r="AS445" s="25"/>
      <c r="AT445" s="25"/>
      <c r="AU445" s="25"/>
      <c r="AV445" s="25"/>
      <c r="AW445" s="25"/>
      <c r="AX445" s="25"/>
      <c r="AY445" s="25"/>
      <c r="AZ445" s="25"/>
      <c r="BA445" s="25"/>
      <c r="BB445" s="25"/>
      <c r="BC445" s="25"/>
      <c r="BD445" s="25"/>
      <c r="BE445" s="25"/>
      <c r="BF445" s="25"/>
      <c r="BG445" s="25"/>
      <c r="BH445" s="25"/>
      <c r="BI445" s="25"/>
    </row>
    <row r="446" spans="2:61" x14ac:dyDescent="0.35"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  <c r="AO446" s="25"/>
      <c r="AP446" s="25"/>
      <c r="AQ446" s="25"/>
      <c r="AR446" s="25"/>
      <c r="AS446" s="25"/>
      <c r="AT446" s="25"/>
      <c r="AU446" s="25"/>
      <c r="AV446" s="25"/>
      <c r="AW446" s="25"/>
      <c r="AX446" s="25"/>
      <c r="AY446" s="25"/>
      <c r="AZ446" s="25"/>
      <c r="BA446" s="25"/>
      <c r="BB446" s="25"/>
      <c r="BC446" s="25"/>
      <c r="BD446" s="25"/>
      <c r="BE446" s="25"/>
      <c r="BF446" s="25"/>
      <c r="BG446" s="25"/>
      <c r="BH446" s="25"/>
      <c r="BI446" s="25"/>
    </row>
    <row r="447" spans="2:61" x14ac:dyDescent="0.35"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  <c r="AO447" s="25"/>
      <c r="AP447" s="25"/>
      <c r="AQ447" s="25"/>
      <c r="AR447" s="25"/>
      <c r="AS447" s="25"/>
      <c r="AT447" s="25"/>
      <c r="AU447" s="25"/>
      <c r="AV447" s="25"/>
      <c r="AW447" s="25"/>
      <c r="AX447" s="25"/>
      <c r="AY447" s="25"/>
      <c r="AZ447" s="25"/>
      <c r="BA447" s="25"/>
      <c r="BB447" s="25"/>
      <c r="BC447" s="25"/>
      <c r="BD447" s="25"/>
      <c r="BE447" s="25"/>
      <c r="BF447" s="25"/>
      <c r="BG447" s="25"/>
      <c r="BH447" s="25"/>
      <c r="BI447" s="25"/>
    </row>
    <row r="448" spans="2:61" x14ac:dyDescent="0.35"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  <c r="AO448" s="25"/>
      <c r="AP448" s="25"/>
      <c r="AQ448" s="25"/>
      <c r="AR448" s="25"/>
      <c r="AS448" s="25"/>
      <c r="AT448" s="25"/>
      <c r="AU448" s="25"/>
      <c r="AV448" s="25"/>
      <c r="AW448" s="25"/>
      <c r="AX448" s="25"/>
      <c r="AY448" s="25"/>
      <c r="AZ448" s="25"/>
      <c r="BA448" s="25"/>
      <c r="BB448" s="25"/>
      <c r="BC448" s="25"/>
      <c r="BD448" s="25"/>
      <c r="BE448" s="25"/>
      <c r="BF448" s="25"/>
      <c r="BG448" s="25"/>
      <c r="BH448" s="25"/>
      <c r="BI448" s="25"/>
    </row>
    <row r="449" spans="2:61" x14ac:dyDescent="0.35"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  <c r="AO449" s="25"/>
      <c r="AP449" s="25"/>
      <c r="AQ449" s="25"/>
      <c r="AR449" s="25"/>
      <c r="AS449" s="25"/>
      <c r="AT449" s="25"/>
      <c r="AU449" s="25"/>
      <c r="AV449" s="25"/>
      <c r="AW449" s="25"/>
      <c r="AX449" s="25"/>
      <c r="AY449" s="25"/>
      <c r="AZ449" s="25"/>
      <c r="BA449" s="25"/>
      <c r="BB449" s="25"/>
      <c r="BC449" s="25"/>
      <c r="BD449" s="25"/>
      <c r="BE449" s="25"/>
      <c r="BF449" s="25"/>
      <c r="BG449" s="25"/>
      <c r="BH449" s="25"/>
      <c r="BI449" s="25"/>
    </row>
    <row r="450" spans="2:61" x14ac:dyDescent="0.35"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  <c r="AO450" s="25"/>
      <c r="AP450" s="25"/>
      <c r="AQ450" s="25"/>
      <c r="AR450" s="25"/>
      <c r="AS450" s="25"/>
      <c r="AT450" s="25"/>
      <c r="AU450" s="25"/>
      <c r="AV450" s="25"/>
      <c r="AW450" s="25"/>
      <c r="AX450" s="25"/>
      <c r="AY450" s="25"/>
      <c r="AZ450" s="25"/>
      <c r="BA450" s="25"/>
      <c r="BB450" s="25"/>
      <c r="BC450" s="25"/>
      <c r="BD450" s="25"/>
      <c r="BE450" s="25"/>
      <c r="BF450" s="25"/>
      <c r="BG450" s="25"/>
      <c r="BH450" s="25"/>
      <c r="BI450" s="25"/>
    </row>
    <row r="451" spans="2:61" x14ac:dyDescent="0.35"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  <c r="AO451" s="25"/>
      <c r="AP451" s="25"/>
      <c r="AQ451" s="25"/>
      <c r="AR451" s="25"/>
      <c r="AS451" s="25"/>
      <c r="AT451" s="25"/>
      <c r="AU451" s="25"/>
      <c r="AV451" s="25"/>
      <c r="AW451" s="25"/>
      <c r="AX451" s="25"/>
      <c r="AY451" s="25"/>
      <c r="AZ451" s="25"/>
      <c r="BA451" s="25"/>
      <c r="BB451" s="25"/>
      <c r="BC451" s="25"/>
      <c r="BD451" s="25"/>
      <c r="BE451" s="25"/>
      <c r="BF451" s="25"/>
      <c r="BG451" s="25"/>
      <c r="BH451" s="25"/>
      <c r="BI451" s="25"/>
    </row>
    <row r="452" spans="2:61" x14ac:dyDescent="0.35"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  <c r="AO452" s="25"/>
      <c r="AP452" s="25"/>
      <c r="AQ452" s="25"/>
      <c r="AR452" s="25"/>
      <c r="AS452" s="25"/>
      <c r="AT452" s="25"/>
      <c r="AU452" s="25"/>
      <c r="AV452" s="25"/>
      <c r="AW452" s="25"/>
      <c r="AX452" s="25"/>
      <c r="AY452" s="25"/>
      <c r="AZ452" s="25"/>
      <c r="BA452" s="25"/>
      <c r="BB452" s="25"/>
      <c r="BC452" s="25"/>
      <c r="BD452" s="25"/>
      <c r="BE452" s="25"/>
      <c r="BF452" s="25"/>
      <c r="BG452" s="25"/>
      <c r="BH452" s="25"/>
      <c r="BI452" s="25"/>
    </row>
    <row r="453" spans="2:61" x14ac:dyDescent="0.35"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  <c r="AO453" s="25"/>
      <c r="AP453" s="25"/>
      <c r="AQ453" s="25"/>
      <c r="AR453" s="25"/>
      <c r="AS453" s="25"/>
      <c r="AT453" s="25"/>
      <c r="AU453" s="25"/>
      <c r="AV453" s="25"/>
      <c r="AW453" s="25"/>
      <c r="AX453" s="25"/>
      <c r="AY453" s="25"/>
      <c r="AZ453" s="25"/>
      <c r="BA453" s="25"/>
      <c r="BB453" s="25"/>
      <c r="BC453" s="25"/>
      <c r="BD453" s="25"/>
      <c r="BE453" s="25"/>
      <c r="BF453" s="25"/>
      <c r="BG453" s="25"/>
      <c r="BH453" s="25"/>
      <c r="BI453" s="25"/>
    </row>
    <row r="454" spans="2:61" x14ac:dyDescent="0.35"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  <c r="AO454" s="25"/>
      <c r="AP454" s="25"/>
      <c r="AQ454" s="25"/>
      <c r="AR454" s="25"/>
      <c r="AS454" s="25"/>
      <c r="AT454" s="25"/>
      <c r="AU454" s="25"/>
      <c r="AV454" s="25"/>
      <c r="AW454" s="25"/>
      <c r="AX454" s="25"/>
      <c r="AY454" s="25"/>
      <c r="AZ454" s="25"/>
      <c r="BA454" s="25"/>
      <c r="BB454" s="25"/>
      <c r="BC454" s="25"/>
      <c r="BD454" s="25"/>
      <c r="BE454" s="25"/>
      <c r="BF454" s="25"/>
      <c r="BG454" s="25"/>
      <c r="BH454" s="25"/>
      <c r="BI454" s="25"/>
    </row>
    <row r="455" spans="2:61" x14ac:dyDescent="0.35"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  <c r="AO455" s="25"/>
      <c r="AP455" s="25"/>
      <c r="AQ455" s="25"/>
      <c r="AR455" s="25"/>
      <c r="AS455" s="25"/>
      <c r="AT455" s="25"/>
      <c r="AU455" s="25"/>
      <c r="AV455" s="25"/>
      <c r="AW455" s="25"/>
      <c r="AX455" s="25"/>
      <c r="AY455" s="25"/>
      <c r="AZ455" s="25"/>
      <c r="BA455" s="25"/>
      <c r="BB455" s="25"/>
      <c r="BC455" s="25"/>
      <c r="BD455" s="25"/>
      <c r="BE455" s="25"/>
      <c r="BF455" s="25"/>
      <c r="BG455" s="25"/>
      <c r="BH455" s="25"/>
      <c r="BI455" s="25"/>
    </row>
    <row r="456" spans="2:61" x14ac:dyDescent="0.35"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  <c r="AO456" s="25"/>
      <c r="AP456" s="25"/>
      <c r="AQ456" s="25"/>
      <c r="AR456" s="25"/>
      <c r="AS456" s="25"/>
      <c r="AT456" s="25"/>
      <c r="AU456" s="25"/>
      <c r="AV456" s="25"/>
      <c r="AW456" s="25"/>
      <c r="AX456" s="25"/>
      <c r="AY456" s="25"/>
      <c r="AZ456" s="25"/>
      <c r="BA456" s="25"/>
      <c r="BB456" s="25"/>
      <c r="BC456" s="25"/>
      <c r="BD456" s="25"/>
      <c r="BE456" s="25"/>
      <c r="BF456" s="25"/>
      <c r="BG456" s="25"/>
      <c r="BH456" s="25"/>
      <c r="BI456" s="25"/>
    </row>
    <row r="457" spans="2:61" x14ac:dyDescent="0.35"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  <c r="AO457" s="25"/>
      <c r="AP457" s="25"/>
      <c r="AQ457" s="25"/>
      <c r="AR457" s="25"/>
      <c r="AS457" s="25"/>
      <c r="AT457" s="25"/>
      <c r="AU457" s="25"/>
      <c r="AV457" s="25"/>
      <c r="AW457" s="25"/>
      <c r="AX457" s="25"/>
      <c r="AY457" s="25"/>
      <c r="AZ457" s="25"/>
      <c r="BA457" s="25"/>
      <c r="BB457" s="25"/>
      <c r="BC457" s="25"/>
      <c r="BD457" s="25"/>
      <c r="BE457" s="25"/>
      <c r="BF457" s="25"/>
      <c r="BG457" s="25"/>
      <c r="BH457" s="25"/>
      <c r="BI457" s="25"/>
    </row>
    <row r="458" spans="2:61" x14ac:dyDescent="0.35"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  <c r="AO458" s="25"/>
      <c r="AP458" s="25"/>
      <c r="AQ458" s="25"/>
      <c r="AR458" s="25"/>
      <c r="AS458" s="25"/>
      <c r="AT458" s="25"/>
      <c r="AU458" s="25"/>
      <c r="AV458" s="25"/>
      <c r="AW458" s="25"/>
      <c r="AX458" s="25"/>
      <c r="AY458" s="25"/>
      <c r="AZ458" s="25"/>
      <c r="BA458" s="25"/>
      <c r="BB458" s="25"/>
      <c r="BC458" s="25"/>
      <c r="BD458" s="25"/>
      <c r="BE458" s="25"/>
      <c r="BF458" s="25"/>
      <c r="BG458" s="25"/>
      <c r="BH458" s="25"/>
      <c r="BI458" s="25"/>
    </row>
    <row r="459" spans="2:61" x14ac:dyDescent="0.35"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  <c r="AO459" s="25"/>
      <c r="AP459" s="25"/>
      <c r="AQ459" s="25"/>
      <c r="AR459" s="25"/>
      <c r="AS459" s="25"/>
      <c r="AT459" s="25"/>
      <c r="AU459" s="25"/>
      <c r="AV459" s="25"/>
      <c r="AW459" s="25"/>
      <c r="AX459" s="25"/>
      <c r="AY459" s="25"/>
      <c r="AZ459" s="25"/>
      <c r="BA459" s="25"/>
      <c r="BB459" s="25"/>
      <c r="BC459" s="25"/>
      <c r="BD459" s="25"/>
      <c r="BE459" s="25"/>
      <c r="BF459" s="25"/>
      <c r="BG459" s="25"/>
      <c r="BH459" s="25"/>
      <c r="BI459" s="25"/>
    </row>
    <row r="460" spans="2:61" x14ac:dyDescent="0.35"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  <c r="AO460" s="25"/>
      <c r="AP460" s="25"/>
      <c r="AQ460" s="25"/>
      <c r="AR460" s="25"/>
      <c r="AS460" s="25"/>
      <c r="AT460" s="25"/>
      <c r="AU460" s="25"/>
      <c r="AV460" s="25"/>
      <c r="AW460" s="25"/>
      <c r="AX460" s="25"/>
      <c r="AY460" s="25"/>
      <c r="AZ460" s="25"/>
      <c r="BA460" s="25"/>
      <c r="BB460" s="25"/>
      <c r="BC460" s="25"/>
      <c r="BD460" s="25"/>
      <c r="BE460" s="25"/>
      <c r="BF460" s="25"/>
      <c r="BG460" s="25"/>
      <c r="BH460" s="25"/>
      <c r="BI460" s="25"/>
    </row>
    <row r="461" spans="2:61" x14ac:dyDescent="0.35"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  <c r="AO461" s="25"/>
      <c r="AP461" s="25"/>
      <c r="AQ461" s="25"/>
      <c r="AR461" s="25"/>
      <c r="AS461" s="25"/>
      <c r="AT461" s="25"/>
      <c r="AU461" s="25"/>
      <c r="AV461" s="25"/>
      <c r="AW461" s="25"/>
      <c r="AX461" s="25"/>
      <c r="AY461" s="25"/>
      <c r="AZ461" s="25"/>
      <c r="BA461" s="25"/>
      <c r="BB461" s="25"/>
      <c r="BC461" s="25"/>
      <c r="BD461" s="25"/>
      <c r="BE461" s="25"/>
      <c r="BF461" s="25"/>
      <c r="BG461" s="25"/>
      <c r="BH461" s="25"/>
      <c r="BI461" s="25"/>
    </row>
    <row r="462" spans="2:61" x14ac:dyDescent="0.35"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  <c r="AO462" s="25"/>
      <c r="AP462" s="25"/>
      <c r="AQ462" s="25"/>
      <c r="AR462" s="25"/>
      <c r="AS462" s="25"/>
      <c r="AT462" s="25"/>
      <c r="AU462" s="25"/>
      <c r="AV462" s="25"/>
      <c r="AW462" s="25"/>
      <c r="AX462" s="25"/>
      <c r="AY462" s="25"/>
      <c r="AZ462" s="25"/>
      <c r="BA462" s="25"/>
      <c r="BB462" s="25"/>
      <c r="BC462" s="25"/>
      <c r="BD462" s="25"/>
      <c r="BE462" s="25"/>
      <c r="BF462" s="25"/>
      <c r="BG462" s="25"/>
      <c r="BH462" s="25"/>
      <c r="BI462" s="25"/>
    </row>
    <row r="463" spans="2:61" x14ac:dyDescent="0.35"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  <c r="AO463" s="25"/>
      <c r="AP463" s="25"/>
      <c r="AQ463" s="25"/>
      <c r="AR463" s="25"/>
      <c r="AS463" s="25"/>
      <c r="AT463" s="25"/>
      <c r="AU463" s="25"/>
      <c r="AV463" s="25"/>
      <c r="AW463" s="25"/>
      <c r="AX463" s="25"/>
      <c r="AY463" s="25"/>
      <c r="AZ463" s="25"/>
      <c r="BA463" s="25"/>
      <c r="BB463" s="25"/>
      <c r="BC463" s="25"/>
      <c r="BD463" s="25"/>
      <c r="BE463" s="25"/>
      <c r="BF463" s="25"/>
      <c r="BG463" s="25"/>
      <c r="BH463" s="25"/>
      <c r="BI463" s="25"/>
    </row>
    <row r="464" spans="2:61" x14ac:dyDescent="0.35"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  <c r="AO464" s="25"/>
      <c r="AP464" s="25"/>
      <c r="AQ464" s="25"/>
      <c r="AR464" s="25"/>
      <c r="AS464" s="25"/>
      <c r="AT464" s="25"/>
      <c r="AU464" s="25"/>
      <c r="AV464" s="25"/>
      <c r="AW464" s="25"/>
      <c r="AX464" s="25"/>
      <c r="AY464" s="25"/>
      <c r="AZ464" s="25"/>
      <c r="BA464" s="25"/>
      <c r="BB464" s="25"/>
      <c r="BC464" s="25"/>
      <c r="BD464" s="25"/>
      <c r="BE464" s="25"/>
      <c r="BF464" s="25"/>
      <c r="BG464" s="25"/>
      <c r="BH464" s="25"/>
      <c r="BI464" s="25"/>
    </row>
    <row r="465" spans="2:61" x14ac:dyDescent="0.35"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  <c r="AO465" s="25"/>
      <c r="AP465" s="25"/>
      <c r="AQ465" s="25"/>
      <c r="AR465" s="25"/>
      <c r="AS465" s="25"/>
      <c r="AT465" s="25"/>
      <c r="AU465" s="25"/>
      <c r="AV465" s="25"/>
      <c r="AW465" s="25"/>
      <c r="AX465" s="25"/>
      <c r="AY465" s="25"/>
      <c r="AZ465" s="25"/>
      <c r="BA465" s="25"/>
      <c r="BB465" s="25"/>
      <c r="BC465" s="25"/>
      <c r="BD465" s="25"/>
      <c r="BE465" s="25"/>
      <c r="BF465" s="25"/>
      <c r="BG465" s="25"/>
      <c r="BH465" s="25"/>
      <c r="BI465" s="25"/>
    </row>
    <row r="466" spans="2:61" x14ac:dyDescent="0.35"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  <c r="AO466" s="25"/>
      <c r="AP466" s="25"/>
      <c r="AQ466" s="25"/>
      <c r="AR466" s="25"/>
      <c r="AS466" s="25"/>
      <c r="AT466" s="25"/>
      <c r="AU466" s="25"/>
      <c r="AV466" s="25"/>
      <c r="AW466" s="25"/>
      <c r="AX466" s="25"/>
      <c r="AY466" s="25"/>
      <c r="AZ466" s="25"/>
      <c r="BA466" s="25"/>
      <c r="BB466" s="25"/>
      <c r="BC466" s="25"/>
      <c r="BD466" s="25"/>
      <c r="BE466" s="25"/>
      <c r="BF466" s="25"/>
      <c r="BG466" s="25"/>
      <c r="BH466" s="25"/>
      <c r="BI466" s="25"/>
    </row>
    <row r="467" spans="2:61" x14ac:dyDescent="0.35"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  <c r="AO467" s="25"/>
      <c r="AP467" s="25"/>
      <c r="AQ467" s="25"/>
      <c r="AR467" s="25"/>
      <c r="AS467" s="25"/>
      <c r="AT467" s="25"/>
      <c r="AU467" s="25"/>
      <c r="AV467" s="25"/>
      <c r="AW467" s="25"/>
      <c r="AX467" s="25"/>
      <c r="AY467" s="25"/>
      <c r="AZ467" s="25"/>
      <c r="BA467" s="25"/>
      <c r="BB467" s="25"/>
      <c r="BC467" s="25"/>
      <c r="BD467" s="25"/>
      <c r="BE467" s="25"/>
      <c r="BF467" s="25"/>
      <c r="BG467" s="25"/>
      <c r="BH467" s="25"/>
      <c r="BI467" s="25"/>
    </row>
    <row r="468" spans="2:61" x14ac:dyDescent="0.35"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  <c r="AO468" s="25"/>
      <c r="AP468" s="25"/>
      <c r="AQ468" s="25"/>
      <c r="AR468" s="25"/>
      <c r="AS468" s="25"/>
      <c r="AT468" s="25"/>
      <c r="AU468" s="25"/>
      <c r="AV468" s="25"/>
      <c r="AW468" s="25"/>
      <c r="AX468" s="25"/>
      <c r="AY468" s="25"/>
      <c r="AZ468" s="25"/>
      <c r="BA468" s="25"/>
      <c r="BB468" s="25"/>
      <c r="BC468" s="25"/>
      <c r="BD468" s="25"/>
      <c r="BE468" s="25"/>
      <c r="BF468" s="25"/>
      <c r="BG468" s="25"/>
      <c r="BH468" s="25"/>
      <c r="BI468" s="25"/>
    </row>
    <row r="469" spans="2:61" x14ac:dyDescent="0.35"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  <c r="AO469" s="25"/>
      <c r="AP469" s="25"/>
      <c r="AQ469" s="25"/>
      <c r="AR469" s="25"/>
      <c r="AS469" s="25"/>
      <c r="AT469" s="25"/>
      <c r="AU469" s="25"/>
      <c r="AV469" s="25"/>
      <c r="AW469" s="25"/>
      <c r="AX469" s="25"/>
      <c r="AY469" s="25"/>
      <c r="AZ469" s="25"/>
      <c r="BA469" s="25"/>
      <c r="BB469" s="25"/>
      <c r="BC469" s="25"/>
      <c r="BD469" s="25"/>
      <c r="BE469" s="25"/>
      <c r="BF469" s="25"/>
      <c r="BG469" s="25"/>
      <c r="BH469" s="25"/>
      <c r="BI469" s="25"/>
    </row>
    <row r="470" spans="2:61" x14ac:dyDescent="0.35"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  <c r="AO470" s="25"/>
      <c r="AP470" s="25"/>
      <c r="AQ470" s="25"/>
      <c r="AR470" s="25"/>
      <c r="AS470" s="25"/>
      <c r="AT470" s="25"/>
      <c r="AU470" s="25"/>
      <c r="AV470" s="25"/>
      <c r="AW470" s="25"/>
      <c r="AX470" s="25"/>
      <c r="AY470" s="25"/>
      <c r="AZ470" s="25"/>
      <c r="BA470" s="25"/>
      <c r="BB470" s="25"/>
      <c r="BC470" s="25"/>
      <c r="BD470" s="25"/>
      <c r="BE470" s="25"/>
      <c r="BF470" s="25"/>
      <c r="BG470" s="25"/>
      <c r="BH470" s="25"/>
      <c r="BI470" s="25"/>
    </row>
    <row r="471" spans="2:61" x14ac:dyDescent="0.35"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  <c r="AO471" s="25"/>
      <c r="AP471" s="25"/>
      <c r="AQ471" s="25"/>
      <c r="AR471" s="25"/>
      <c r="AS471" s="25"/>
      <c r="AT471" s="25"/>
      <c r="AU471" s="25"/>
      <c r="AV471" s="25"/>
      <c r="AW471" s="25"/>
      <c r="AX471" s="25"/>
      <c r="AY471" s="25"/>
      <c r="AZ471" s="25"/>
      <c r="BA471" s="25"/>
      <c r="BB471" s="25"/>
      <c r="BC471" s="25"/>
      <c r="BD471" s="25"/>
      <c r="BE471" s="25"/>
      <c r="BF471" s="25"/>
      <c r="BG471" s="25"/>
      <c r="BH471" s="25"/>
      <c r="BI471" s="25"/>
    </row>
    <row r="472" spans="2:61" x14ac:dyDescent="0.35"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  <c r="AO472" s="25"/>
      <c r="AP472" s="25"/>
      <c r="AQ472" s="25"/>
      <c r="AR472" s="25"/>
      <c r="AS472" s="25"/>
      <c r="AT472" s="25"/>
      <c r="AU472" s="25"/>
      <c r="AV472" s="25"/>
      <c r="AW472" s="25"/>
      <c r="AX472" s="25"/>
      <c r="AY472" s="25"/>
      <c r="AZ472" s="25"/>
      <c r="BA472" s="25"/>
      <c r="BB472" s="25"/>
      <c r="BC472" s="25"/>
      <c r="BD472" s="25"/>
      <c r="BE472" s="25"/>
      <c r="BF472" s="25"/>
      <c r="BG472" s="25"/>
      <c r="BH472" s="25"/>
      <c r="BI472" s="25"/>
    </row>
    <row r="473" spans="2:61" x14ac:dyDescent="0.35"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  <c r="AO473" s="25"/>
      <c r="AP473" s="25"/>
      <c r="AQ473" s="25"/>
      <c r="AR473" s="25"/>
      <c r="AS473" s="25"/>
      <c r="AT473" s="25"/>
      <c r="AU473" s="25"/>
      <c r="AV473" s="25"/>
      <c r="AW473" s="25"/>
      <c r="AX473" s="25"/>
      <c r="AY473" s="25"/>
      <c r="AZ473" s="25"/>
      <c r="BA473" s="25"/>
      <c r="BB473" s="25"/>
      <c r="BC473" s="25"/>
      <c r="BD473" s="25"/>
      <c r="BE473" s="25"/>
      <c r="BF473" s="25"/>
      <c r="BG473" s="25"/>
      <c r="BH473" s="25"/>
      <c r="BI473" s="25"/>
    </row>
    <row r="474" spans="2:61" x14ac:dyDescent="0.35"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  <c r="AO474" s="25"/>
      <c r="AP474" s="25"/>
      <c r="AQ474" s="25"/>
      <c r="AR474" s="25"/>
      <c r="AS474" s="25"/>
      <c r="AT474" s="25"/>
      <c r="AU474" s="25"/>
      <c r="AV474" s="25"/>
      <c r="AW474" s="25"/>
      <c r="AX474" s="25"/>
      <c r="AY474" s="25"/>
      <c r="AZ474" s="25"/>
      <c r="BA474" s="25"/>
      <c r="BB474" s="25"/>
      <c r="BC474" s="25"/>
      <c r="BD474" s="25"/>
      <c r="BE474" s="25"/>
      <c r="BF474" s="25"/>
      <c r="BG474" s="25"/>
      <c r="BH474" s="25"/>
      <c r="BI474" s="25"/>
    </row>
    <row r="475" spans="2:61" x14ac:dyDescent="0.35"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  <c r="AO475" s="25"/>
      <c r="AP475" s="25"/>
      <c r="AQ475" s="25"/>
      <c r="AR475" s="25"/>
      <c r="AS475" s="25"/>
      <c r="AT475" s="25"/>
      <c r="AU475" s="25"/>
      <c r="AV475" s="25"/>
      <c r="AW475" s="25"/>
      <c r="AX475" s="25"/>
      <c r="AY475" s="25"/>
      <c r="AZ475" s="25"/>
      <c r="BA475" s="25"/>
      <c r="BB475" s="25"/>
      <c r="BC475" s="25"/>
      <c r="BD475" s="25"/>
      <c r="BE475" s="25"/>
      <c r="BF475" s="25"/>
      <c r="BG475" s="25"/>
      <c r="BH475" s="25"/>
      <c r="BI475" s="25"/>
    </row>
    <row r="476" spans="2:61" x14ac:dyDescent="0.35"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  <c r="AO476" s="25"/>
      <c r="AP476" s="25"/>
      <c r="AQ476" s="25"/>
      <c r="AR476" s="25"/>
      <c r="AS476" s="25"/>
      <c r="AT476" s="25"/>
      <c r="AU476" s="25"/>
      <c r="AV476" s="25"/>
      <c r="AW476" s="25"/>
      <c r="AX476" s="25"/>
      <c r="AY476" s="25"/>
      <c r="AZ476" s="25"/>
      <c r="BA476" s="25"/>
      <c r="BB476" s="25"/>
      <c r="BC476" s="25"/>
      <c r="BD476" s="25"/>
      <c r="BE476" s="25"/>
      <c r="BF476" s="25"/>
      <c r="BG476" s="25"/>
      <c r="BH476" s="25"/>
      <c r="BI476" s="25"/>
    </row>
    <row r="477" spans="2:61" x14ac:dyDescent="0.35"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  <c r="AO477" s="25"/>
      <c r="AP477" s="25"/>
      <c r="AQ477" s="25"/>
      <c r="AR477" s="25"/>
      <c r="AS477" s="25"/>
      <c r="AT477" s="25"/>
      <c r="AU477" s="25"/>
      <c r="AV477" s="25"/>
      <c r="AW477" s="25"/>
      <c r="AX477" s="25"/>
      <c r="AY477" s="25"/>
      <c r="AZ477" s="25"/>
      <c r="BA477" s="25"/>
      <c r="BB477" s="25"/>
      <c r="BC477" s="25"/>
      <c r="BD477" s="25"/>
      <c r="BE477" s="25"/>
      <c r="BF477" s="25"/>
      <c r="BG477" s="25"/>
      <c r="BH477" s="25"/>
      <c r="BI477" s="25"/>
    </row>
    <row r="478" spans="2:61" x14ac:dyDescent="0.35"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  <c r="AO478" s="25"/>
      <c r="AP478" s="25"/>
      <c r="AQ478" s="25"/>
      <c r="AR478" s="25"/>
      <c r="AS478" s="25"/>
      <c r="AT478" s="25"/>
      <c r="AU478" s="25"/>
      <c r="AV478" s="25"/>
      <c r="AW478" s="25"/>
      <c r="AX478" s="25"/>
      <c r="AY478" s="25"/>
      <c r="AZ478" s="25"/>
      <c r="BA478" s="25"/>
      <c r="BB478" s="25"/>
      <c r="BC478" s="25"/>
      <c r="BD478" s="25"/>
      <c r="BE478" s="25"/>
      <c r="BF478" s="25"/>
      <c r="BG478" s="25"/>
      <c r="BH478" s="25"/>
      <c r="BI478" s="25"/>
    </row>
    <row r="479" spans="2:61" x14ac:dyDescent="0.35"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  <c r="AO479" s="25"/>
      <c r="AP479" s="25"/>
      <c r="AQ479" s="25"/>
      <c r="AR479" s="25"/>
      <c r="AS479" s="25"/>
      <c r="AT479" s="25"/>
      <c r="AU479" s="25"/>
      <c r="AV479" s="25"/>
      <c r="AW479" s="25"/>
      <c r="AX479" s="25"/>
      <c r="AY479" s="25"/>
      <c r="AZ479" s="25"/>
      <c r="BA479" s="25"/>
      <c r="BB479" s="25"/>
      <c r="BC479" s="25"/>
      <c r="BD479" s="25"/>
      <c r="BE479" s="25"/>
      <c r="BF479" s="25"/>
      <c r="BG479" s="25"/>
      <c r="BH479" s="25"/>
      <c r="BI479" s="25"/>
    </row>
    <row r="480" spans="2:61" x14ac:dyDescent="0.35"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  <c r="AO480" s="25"/>
      <c r="AP480" s="25"/>
      <c r="AQ480" s="25"/>
      <c r="AR480" s="25"/>
      <c r="AS480" s="25"/>
      <c r="AT480" s="25"/>
      <c r="AU480" s="25"/>
      <c r="AV480" s="25"/>
      <c r="AW480" s="25"/>
      <c r="AX480" s="25"/>
      <c r="AY480" s="25"/>
      <c r="AZ480" s="25"/>
      <c r="BA480" s="25"/>
      <c r="BB480" s="25"/>
      <c r="BC480" s="25"/>
      <c r="BD480" s="25"/>
      <c r="BE480" s="25"/>
      <c r="BF480" s="25"/>
      <c r="BG480" s="25"/>
      <c r="BH480" s="25"/>
      <c r="BI480" s="25"/>
    </row>
    <row r="481" spans="2:61" x14ac:dyDescent="0.35"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  <c r="AO481" s="25"/>
      <c r="AP481" s="25"/>
      <c r="AQ481" s="25"/>
      <c r="AR481" s="25"/>
      <c r="AS481" s="25"/>
      <c r="AT481" s="25"/>
      <c r="AU481" s="25"/>
      <c r="AV481" s="25"/>
      <c r="AW481" s="25"/>
      <c r="AX481" s="25"/>
      <c r="AY481" s="25"/>
      <c r="AZ481" s="25"/>
      <c r="BA481" s="25"/>
      <c r="BB481" s="25"/>
      <c r="BC481" s="25"/>
      <c r="BD481" s="25"/>
      <c r="BE481" s="25"/>
      <c r="BF481" s="25"/>
      <c r="BG481" s="25"/>
      <c r="BH481" s="25"/>
      <c r="BI481" s="25"/>
    </row>
    <row r="482" spans="2:61" x14ac:dyDescent="0.35"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  <c r="AO482" s="25"/>
      <c r="AP482" s="25"/>
      <c r="AQ482" s="25"/>
      <c r="AR482" s="25"/>
      <c r="AS482" s="25"/>
      <c r="AT482" s="25"/>
      <c r="AU482" s="25"/>
      <c r="AV482" s="25"/>
      <c r="AW482" s="25"/>
      <c r="AX482" s="25"/>
      <c r="AY482" s="25"/>
      <c r="AZ482" s="25"/>
      <c r="BA482" s="25"/>
      <c r="BB482" s="25"/>
      <c r="BC482" s="25"/>
      <c r="BD482" s="25"/>
      <c r="BE482" s="25"/>
      <c r="BF482" s="25"/>
      <c r="BG482" s="25"/>
      <c r="BH482" s="25"/>
      <c r="BI482" s="25"/>
    </row>
    <row r="483" spans="2:61" x14ac:dyDescent="0.35"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  <c r="AO483" s="25"/>
      <c r="AP483" s="25"/>
      <c r="AQ483" s="25"/>
      <c r="AR483" s="25"/>
      <c r="AS483" s="25"/>
      <c r="AT483" s="25"/>
      <c r="AU483" s="25"/>
      <c r="AV483" s="25"/>
      <c r="AW483" s="25"/>
      <c r="AX483" s="25"/>
      <c r="AY483" s="25"/>
      <c r="AZ483" s="25"/>
      <c r="BA483" s="25"/>
      <c r="BB483" s="25"/>
      <c r="BC483" s="25"/>
      <c r="BD483" s="25"/>
      <c r="BE483" s="25"/>
      <c r="BF483" s="25"/>
      <c r="BG483" s="25"/>
      <c r="BH483" s="25"/>
      <c r="BI483" s="25"/>
    </row>
    <row r="484" spans="2:61" x14ac:dyDescent="0.35"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  <c r="AO484" s="25"/>
      <c r="AP484" s="25"/>
      <c r="AQ484" s="25"/>
      <c r="AR484" s="25"/>
      <c r="AS484" s="25"/>
      <c r="AT484" s="25"/>
      <c r="AU484" s="25"/>
      <c r="AV484" s="25"/>
      <c r="AW484" s="25"/>
      <c r="AX484" s="25"/>
      <c r="AY484" s="25"/>
      <c r="AZ484" s="25"/>
      <c r="BA484" s="25"/>
      <c r="BB484" s="25"/>
      <c r="BC484" s="25"/>
      <c r="BD484" s="25"/>
      <c r="BE484" s="25"/>
      <c r="BF484" s="25"/>
      <c r="BG484" s="25"/>
      <c r="BH484" s="25"/>
      <c r="BI484" s="25"/>
    </row>
    <row r="485" spans="2:61" x14ac:dyDescent="0.35"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  <c r="AO485" s="25"/>
      <c r="AP485" s="25"/>
      <c r="AQ485" s="25"/>
      <c r="AR485" s="25"/>
      <c r="AS485" s="25"/>
      <c r="AT485" s="25"/>
      <c r="AU485" s="25"/>
      <c r="AV485" s="25"/>
      <c r="AW485" s="25"/>
      <c r="AX485" s="25"/>
      <c r="AY485" s="25"/>
      <c r="AZ485" s="25"/>
      <c r="BA485" s="25"/>
      <c r="BB485" s="25"/>
      <c r="BC485" s="25"/>
      <c r="BD485" s="25"/>
      <c r="BE485" s="25"/>
      <c r="BF485" s="25"/>
      <c r="BG485" s="25"/>
      <c r="BH485" s="25"/>
      <c r="BI485" s="25"/>
    </row>
    <row r="486" spans="2:61" x14ac:dyDescent="0.35"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  <c r="AO486" s="25"/>
      <c r="AP486" s="25"/>
      <c r="AQ486" s="25"/>
      <c r="AR486" s="25"/>
      <c r="AS486" s="25"/>
      <c r="AT486" s="25"/>
      <c r="AU486" s="25"/>
      <c r="AV486" s="25"/>
      <c r="AW486" s="25"/>
      <c r="AX486" s="25"/>
      <c r="AY486" s="25"/>
      <c r="AZ486" s="25"/>
      <c r="BA486" s="25"/>
      <c r="BB486" s="25"/>
      <c r="BC486" s="25"/>
      <c r="BD486" s="25"/>
      <c r="BE486" s="25"/>
      <c r="BF486" s="25"/>
      <c r="BG486" s="25"/>
      <c r="BH486" s="25"/>
      <c r="BI486" s="25"/>
    </row>
    <row r="487" spans="2:61" x14ac:dyDescent="0.35"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  <c r="AO487" s="25"/>
      <c r="AP487" s="25"/>
      <c r="AQ487" s="25"/>
      <c r="AR487" s="25"/>
      <c r="AS487" s="25"/>
      <c r="AT487" s="25"/>
      <c r="AU487" s="25"/>
      <c r="AV487" s="25"/>
      <c r="AW487" s="25"/>
      <c r="AX487" s="25"/>
      <c r="AY487" s="25"/>
      <c r="AZ487" s="25"/>
      <c r="BA487" s="25"/>
      <c r="BB487" s="25"/>
      <c r="BC487" s="25"/>
      <c r="BD487" s="25"/>
      <c r="BE487" s="25"/>
      <c r="BF487" s="25"/>
      <c r="BG487" s="25"/>
      <c r="BH487" s="25"/>
      <c r="BI487" s="25"/>
    </row>
    <row r="488" spans="2:61" x14ac:dyDescent="0.35"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  <c r="AO488" s="25"/>
      <c r="AP488" s="25"/>
      <c r="AQ488" s="25"/>
      <c r="AR488" s="25"/>
      <c r="AS488" s="25"/>
      <c r="AT488" s="25"/>
      <c r="AU488" s="25"/>
      <c r="AV488" s="25"/>
      <c r="AW488" s="25"/>
      <c r="AX488" s="25"/>
      <c r="AY488" s="25"/>
      <c r="AZ488" s="25"/>
      <c r="BA488" s="25"/>
      <c r="BB488" s="25"/>
      <c r="BC488" s="25"/>
      <c r="BD488" s="25"/>
      <c r="BE488" s="25"/>
      <c r="BF488" s="25"/>
      <c r="BG488" s="25"/>
      <c r="BH488" s="25"/>
      <c r="BI488" s="25"/>
    </row>
    <row r="489" spans="2:61" x14ac:dyDescent="0.35"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  <c r="AO489" s="25"/>
      <c r="AP489" s="25"/>
      <c r="AQ489" s="25"/>
      <c r="AR489" s="25"/>
      <c r="AS489" s="25"/>
      <c r="AT489" s="25"/>
      <c r="AU489" s="25"/>
      <c r="AV489" s="25"/>
      <c r="AW489" s="25"/>
      <c r="AX489" s="25"/>
      <c r="AY489" s="25"/>
      <c r="AZ489" s="25"/>
      <c r="BA489" s="25"/>
      <c r="BB489" s="25"/>
      <c r="BC489" s="25"/>
      <c r="BD489" s="25"/>
      <c r="BE489" s="25"/>
      <c r="BF489" s="25"/>
      <c r="BG489" s="25"/>
      <c r="BH489" s="25"/>
      <c r="BI489" s="25"/>
    </row>
    <row r="490" spans="2:61" x14ac:dyDescent="0.35"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  <c r="AO490" s="25"/>
      <c r="AP490" s="25"/>
      <c r="AQ490" s="25"/>
      <c r="AR490" s="25"/>
      <c r="AS490" s="25"/>
      <c r="AT490" s="25"/>
      <c r="AU490" s="25"/>
      <c r="AV490" s="25"/>
      <c r="AW490" s="25"/>
      <c r="AX490" s="25"/>
      <c r="AY490" s="25"/>
      <c r="AZ490" s="25"/>
      <c r="BA490" s="25"/>
      <c r="BB490" s="25"/>
      <c r="BC490" s="25"/>
      <c r="BD490" s="25"/>
      <c r="BE490" s="25"/>
      <c r="BF490" s="25"/>
      <c r="BG490" s="25"/>
      <c r="BH490" s="25"/>
      <c r="BI490" s="25"/>
    </row>
    <row r="491" spans="2:61" x14ac:dyDescent="0.35"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  <c r="AO491" s="25"/>
      <c r="AP491" s="25"/>
      <c r="AQ491" s="25"/>
      <c r="AR491" s="25"/>
      <c r="AS491" s="25"/>
      <c r="AT491" s="25"/>
      <c r="AU491" s="25"/>
      <c r="AV491" s="25"/>
      <c r="AW491" s="25"/>
      <c r="AX491" s="25"/>
      <c r="AY491" s="25"/>
      <c r="AZ491" s="25"/>
      <c r="BA491" s="25"/>
      <c r="BB491" s="25"/>
      <c r="BC491" s="25"/>
      <c r="BD491" s="25"/>
      <c r="BE491" s="25"/>
      <c r="BF491" s="25"/>
      <c r="BG491" s="25"/>
      <c r="BH491" s="25"/>
      <c r="BI491" s="25"/>
    </row>
    <row r="492" spans="2:61" x14ac:dyDescent="0.35"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  <c r="AO492" s="25"/>
      <c r="AP492" s="25"/>
      <c r="AQ492" s="25"/>
      <c r="AR492" s="25"/>
      <c r="AS492" s="25"/>
      <c r="AT492" s="25"/>
      <c r="AU492" s="25"/>
      <c r="AV492" s="25"/>
      <c r="AW492" s="25"/>
      <c r="AX492" s="25"/>
      <c r="AY492" s="25"/>
      <c r="AZ492" s="25"/>
      <c r="BA492" s="25"/>
      <c r="BB492" s="25"/>
      <c r="BC492" s="25"/>
      <c r="BD492" s="25"/>
      <c r="BE492" s="25"/>
      <c r="BF492" s="25"/>
      <c r="BG492" s="25"/>
      <c r="BH492" s="25"/>
      <c r="BI492" s="25"/>
    </row>
    <row r="493" spans="2:61" x14ac:dyDescent="0.35"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  <c r="AO493" s="25"/>
      <c r="AP493" s="25"/>
      <c r="AQ493" s="25"/>
      <c r="AR493" s="25"/>
      <c r="AS493" s="25"/>
      <c r="AT493" s="25"/>
      <c r="AU493" s="25"/>
      <c r="AV493" s="25"/>
      <c r="AW493" s="25"/>
      <c r="AX493" s="25"/>
      <c r="AY493" s="25"/>
      <c r="AZ493" s="25"/>
      <c r="BA493" s="25"/>
      <c r="BB493" s="25"/>
      <c r="BC493" s="25"/>
      <c r="BD493" s="25"/>
      <c r="BE493" s="25"/>
      <c r="BF493" s="25"/>
      <c r="BG493" s="25"/>
      <c r="BH493" s="25"/>
      <c r="BI493" s="25"/>
    </row>
    <row r="494" spans="2:61" x14ac:dyDescent="0.35"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  <c r="AO494" s="25"/>
      <c r="AP494" s="25"/>
      <c r="AQ494" s="25"/>
      <c r="AR494" s="25"/>
      <c r="AS494" s="25"/>
      <c r="AT494" s="25"/>
      <c r="AU494" s="25"/>
      <c r="AV494" s="25"/>
      <c r="AW494" s="25"/>
      <c r="AX494" s="25"/>
      <c r="AY494" s="25"/>
      <c r="AZ494" s="25"/>
      <c r="BA494" s="25"/>
      <c r="BB494" s="25"/>
      <c r="BC494" s="25"/>
      <c r="BD494" s="25"/>
      <c r="BE494" s="25"/>
      <c r="BF494" s="25"/>
      <c r="BG494" s="25"/>
      <c r="BH494" s="25"/>
      <c r="BI494" s="25"/>
    </row>
    <row r="495" spans="2:61" x14ac:dyDescent="0.35"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  <c r="AO495" s="25"/>
      <c r="AP495" s="25"/>
      <c r="AQ495" s="25"/>
      <c r="AR495" s="25"/>
      <c r="AS495" s="25"/>
      <c r="AT495" s="25"/>
      <c r="AU495" s="25"/>
      <c r="AV495" s="25"/>
      <c r="AW495" s="25"/>
      <c r="AX495" s="25"/>
      <c r="AY495" s="25"/>
      <c r="AZ495" s="25"/>
      <c r="BA495" s="25"/>
      <c r="BB495" s="25"/>
      <c r="BC495" s="25"/>
      <c r="BD495" s="25"/>
      <c r="BE495" s="25"/>
      <c r="BF495" s="25"/>
      <c r="BG495" s="25"/>
      <c r="BH495" s="25"/>
      <c r="BI495" s="25"/>
    </row>
    <row r="496" spans="2:61" x14ac:dyDescent="0.35"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  <c r="AO496" s="25"/>
      <c r="AP496" s="25"/>
      <c r="AQ496" s="25"/>
      <c r="AR496" s="25"/>
      <c r="AS496" s="25"/>
      <c r="AT496" s="25"/>
      <c r="AU496" s="25"/>
      <c r="AV496" s="25"/>
      <c r="AW496" s="25"/>
      <c r="AX496" s="25"/>
      <c r="AY496" s="25"/>
      <c r="AZ496" s="25"/>
      <c r="BA496" s="25"/>
      <c r="BB496" s="25"/>
      <c r="BC496" s="25"/>
      <c r="BD496" s="25"/>
      <c r="BE496" s="25"/>
      <c r="BF496" s="25"/>
      <c r="BG496" s="25"/>
      <c r="BH496" s="25"/>
      <c r="BI496" s="25"/>
    </row>
    <row r="497" spans="2:61" x14ac:dyDescent="0.35"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  <c r="AO497" s="25"/>
      <c r="AP497" s="25"/>
      <c r="AQ497" s="25"/>
      <c r="AR497" s="25"/>
      <c r="AS497" s="25"/>
      <c r="AT497" s="25"/>
      <c r="AU497" s="25"/>
      <c r="AV497" s="25"/>
      <c r="AW497" s="25"/>
      <c r="AX497" s="25"/>
      <c r="AY497" s="25"/>
      <c r="AZ497" s="25"/>
      <c r="BA497" s="25"/>
      <c r="BB497" s="25"/>
      <c r="BC497" s="25"/>
      <c r="BD497" s="25"/>
      <c r="BE497" s="25"/>
      <c r="BF497" s="25"/>
      <c r="BG497" s="25"/>
      <c r="BH497" s="25"/>
      <c r="BI497" s="25"/>
    </row>
    <row r="498" spans="2:61" x14ac:dyDescent="0.35"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  <c r="AO498" s="25"/>
      <c r="AP498" s="25"/>
      <c r="AQ498" s="25"/>
      <c r="AR498" s="25"/>
      <c r="AS498" s="25"/>
      <c r="AT498" s="25"/>
      <c r="AU498" s="25"/>
      <c r="AV498" s="25"/>
      <c r="AW498" s="25"/>
      <c r="AX498" s="25"/>
      <c r="AY498" s="25"/>
      <c r="AZ498" s="25"/>
      <c r="BA498" s="25"/>
      <c r="BB498" s="25"/>
      <c r="BC498" s="25"/>
      <c r="BD498" s="25"/>
      <c r="BE498" s="25"/>
      <c r="BF498" s="25"/>
      <c r="BG498" s="25"/>
      <c r="BH498" s="25"/>
      <c r="BI498" s="25"/>
    </row>
    <row r="499" spans="2:61" x14ac:dyDescent="0.35"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  <c r="AO499" s="25"/>
      <c r="AP499" s="25"/>
      <c r="AQ499" s="25"/>
      <c r="AR499" s="25"/>
      <c r="AS499" s="25"/>
      <c r="AT499" s="25"/>
      <c r="AU499" s="25"/>
      <c r="AV499" s="25"/>
      <c r="AW499" s="25"/>
      <c r="AX499" s="25"/>
      <c r="AY499" s="25"/>
      <c r="AZ499" s="25"/>
      <c r="BA499" s="25"/>
      <c r="BB499" s="25"/>
      <c r="BC499" s="25"/>
      <c r="BD499" s="25"/>
      <c r="BE499" s="25"/>
      <c r="BF499" s="25"/>
      <c r="BG499" s="25"/>
      <c r="BH499" s="25"/>
      <c r="BI499" s="25"/>
    </row>
    <row r="500" spans="2:61" x14ac:dyDescent="0.35"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  <c r="AO500" s="25"/>
      <c r="AP500" s="25"/>
      <c r="AQ500" s="25"/>
      <c r="AR500" s="25"/>
      <c r="AS500" s="25"/>
      <c r="AT500" s="25"/>
      <c r="AU500" s="25"/>
      <c r="AV500" s="25"/>
      <c r="AW500" s="25"/>
      <c r="AX500" s="25"/>
      <c r="AY500" s="25"/>
      <c r="AZ500" s="25"/>
      <c r="BA500" s="25"/>
      <c r="BB500" s="25"/>
      <c r="BC500" s="25"/>
      <c r="BD500" s="25"/>
      <c r="BE500" s="25"/>
      <c r="BF500" s="25"/>
      <c r="BG500" s="25"/>
      <c r="BH500" s="25"/>
      <c r="BI500" s="25"/>
    </row>
    <row r="501" spans="2:61" x14ac:dyDescent="0.35"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  <c r="AO501" s="25"/>
      <c r="AP501" s="25"/>
      <c r="AQ501" s="25"/>
      <c r="AR501" s="25"/>
      <c r="AS501" s="25"/>
      <c r="AT501" s="25"/>
      <c r="AU501" s="25"/>
      <c r="AV501" s="25"/>
      <c r="AW501" s="25"/>
      <c r="AX501" s="25"/>
      <c r="AY501" s="25"/>
      <c r="AZ501" s="25"/>
      <c r="BA501" s="25"/>
      <c r="BB501" s="25"/>
      <c r="BC501" s="25"/>
      <c r="BD501" s="25"/>
      <c r="BE501" s="25"/>
      <c r="BF501" s="25"/>
      <c r="BG501" s="25"/>
      <c r="BH501" s="25"/>
      <c r="BI501" s="25"/>
    </row>
    <row r="502" spans="2:61" x14ac:dyDescent="0.35"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  <c r="AO502" s="25"/>
      <c r="AP502" s="25"/>
      <c r="AQ502" s="25"/>
      <c r="AR502" s="25"/>
      <c r="AS502" s="25"/>
      <c r="AT502" s="25"/>
      <c r="AU502" s="25"/>
      <c r="AV502" s="25"/>
      <c r="AW502" s="25"/>
      <c r="AX502" s="25"/>
      <c r="AY502" s="25"/>
      <c r="AZ502" s="25"/>
      <c r="BA502" s="25"/>
      <c r="BB502" s="25"/>
      <c r="BC502" s="25"/>
      <c r="BD502" s="25"/>
      <c r="BE502" s="25"/>
      <c r="BF502" s="25"/>
      <c r="BG502" s="25"/>
      <c r="BH502" s="25"/>
      <c r="BI502" s="25"/>
    </row>
    <row r="503" spans="2:61" x14ac:dyDescent="0.35"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  <c r="AO503" s="25"/>
      <c r="AP503" s="25"/>
      <c r="AQ503" s="25"/>
      <c r="AR503" s="25"/>
      <c r="AS503" s="25"/>
      <c r="AT503" s="25"/>
      <c r="AU503" s="25"/>
      <c r="AV503" s="25"/>
      <c r="AW503" s="25"/>
      <c r="AX503" s="25"/>
      <c r="AY503" s="25"/>
      <c r="AZ503" s="25"/>
      <c r="BA503" s="25"/>
      <c r="BB503" s="25"/>
      <c r="BC503" s="25"/>
      <c r="BD503" s="25"/>
      <c r="BE503" s="25"/>
      <c r="BF503" s="25"/>
      <c r="BG503" s="25"/>
      <c r="BH503" s="25"/>
      <c r="BI503" s="25"/>
    </row>
    <row r="504" spans="2:61" x14ac:dyDescent="0.35"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  <c r="AO504" s="25"/>
      <c r="AP504" s="25"/>
      <c r="AQ504" s="25"/>
      <c r="AR504" s="25"/>
      <c r="AS504" s="25"/>
      <c r="AT504" s="25"/>
      <c r="AU504" s="25"/>
      <c r="AV504" s="25"/>
      <c r="AW504" s="25"/>
      <c r="AX504" s="25"/>
      <c r="AY504" s="25"/>
      <c r="AZ504" s="25"/>
      <c r="BA504" s="25"/>
      <c r="BB504" s="25"/>
      <c r="BC504" s="25"/>
      <c r="BD504" s="25"/>
      <c r="BE504" s="25"/>
      <c r="BF504" s="25"/>
      <c r="BG504" s="25"/>
      <c r="BH504" s="25"/>
      <c r="BI504" s="25"/>
    </row>
    <row r="505" spans="2:61" x14ac:dyDescent="0.35"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  <c r="AO505" s="25"/>
      <c r="AP505" s="25"/>
      <c r="AQ505" s="25"/>
      <c r="AR505" s="25"/>
      <c r="AS505" s="25"/>
      <c r="AT505" s="25"/>
      <c r="AU505" s="25"/>
      <c r="AV505" s="25"/>
      <c r="AW505" s="25"/>
      <c r="AX505" s="25"/>
      <c r="AY505" s="25"/>
      <c r="AZ505" s="25"/>
      <c r="BA505" s="25"/>
      <c r="BB505" s="25"/>
      <c r="BC505" s="25"/>
      <c r="BD505" s="25"/>
      <c r="BE505" s="25"/>
      <c r="BF505" s="25"/>
      <c r="BG505" s="25"/>
      <c r="BH505" s="25"/>
      <c r="BI505" s="25"/>
    </row>
    <row r="506" spans="2:61" x14ac:dyDescent="0.35"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  <c r="AO506" s="25"/>
      <c r="AP506" s="25"/>
      <c r="AQ506" s="25"/>
      <c r="AR506" s="25"/>
      <c r="AS506" s="25"/>
      <c r="AT506" s="25"/>
      <c r="AU506" s="25"/>
      <c r="AV506" s="25"/>
      <c r="AW506" s="25"/>
      <c r="AX506" s="25"/>
      <c r="AY506" s="25"/>
      <c r="AZ506" s="25"/>
      <c r="BA506" s="25"/>
      <c r="BB506" s="25"/>
      <c r="BC506" s="25"/>
      <c r="BD506" s="25"/>
      <c r="BE506" s="25"/>
      <c r="BF506" s="25"/>
      <c r="BG506" s="25"/>
      <c r="BH506" s="25"/>
      <c r="BI506" s="25"/>
    </row>
    <row r="507" spans="2:61" x14ac:dyDescent="0.35"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  <c r="AO507" s="25"/>
      <c r="AP507" s="25"/>
      <c r="AQ507" s="25"/>
      <c r="AR507" s="25"/>
      <c r="AS507" s="25"/>
      <c r="AT507" s="25"/>
      <c r="AU507" s="25"/>
      <c r="AV507" s="25"/>
      <c r="AW507" s="25"/>
      <c r="AX507" s="25"/>
      <c r="AY507" s="25"/>
      <c r="AZ507" s="25"/>
      <c r="BA507" s="25"/>
      <c r="BB507" s="25"/>
      <c r="BC507" s="25"/>
      <c r="BD507" s="25"/>
      <c r="BE507" s="25"/>
      <c r="BF507" s="25"/>
      <c r="BG507" s="25"/>
      <c r="BH507" s="25"/>
      <c r="BI507" s="25"/>
    </row>
    <row r="508" spans="2:61" x14ac:dyDescent="0.35"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  <c r="AO508" s="25"/>
      <c r="AP508" s="25"/>
      <c r="AQ508" s="25"/>
      <c r="AR508" s="25"/>
      <c r="AS508" s="25"/>
      <c r="AT508" s="25"/>
      <c r="AU508" s="25"/>
      <c r="AV508" s="25"/>
      <c r="AW508" s="25"/>
      <c r="AX508" s="25"/>
      <c r="AY508" s="25"/>
      <c r="AZ508" s="25"/>
      <c r="BA508" s="25"/>
      <c r="BB508" s="25"/>
      <c r="BC508" s="25"/>
      <c r="BD508" s="25"/>
      <c r="BE508" s="25"/>
      <c r="BF508" s="25"/>
      <c r="BG508" s="25"/>
      <c r="BH508" s="25"/>
      <c r="BI508" s="25"/>
    </row>
    <row r="509" spans="2:61" x14ac:dyDescent="0.35"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  <c r="AO509" s="25"/>
      <c r="AP509" s="25"/>
      <c r="AQ509" s="25"/>
      <c r="AR509" s="25"/>
      <c r="AS509" s="25"/>
      <c r="AT509" s="25"/>
      <c r="AU509" s="25"/>
      <c r="AV509" s="25"/>
      <c r="AW509" s="25"/>
      <c r="AX509" s="25"/>
      <c r="AY509" s="25"/>
      <c r="AZ509" s="25"/>
      <c r="BA509" s="25"/>
      <c r="BB509" s="25"/>
      <c r="BC509" s="25"/>
      <c r="BD509" s="25"/>
      <c r="BE509" s="25"/>
      <c r="BF509" s="25"/>
      <c r="BG509" s="25"/>
      <c r="BH509" s="25"/>
      <c r="BI509" s="25"/>
    </row>
    <row r="510" spans="2:61" x14ac:dyDescent="0.35"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  <c r="AO510" s="25"/>
      <c r="AP510" s="25"/>
      <c r="AQ510" s="25"/>
      <c r="AR510" s="25"/>
      <c r="AS510" s="25"/>
      <c r="AT510" s="25"/>
      <c r="AU510" s="25"/>
      <c r="AV510" s="25"/>
      <c r="AW510" s="25"/>
      <c r="AX510" s="25"/>
      <c r="AY510" s="25"/>
      <c r="AZ510" s="25"/>
      <c r="BA510" s="25"/>
      <c r="BB510" s="25"/>
      <c r="BC510" s="25"/>
      <c r="BD510" s="25"/>
      <c r="BE510" s="25"/>
      <c r="BF510" s="25"/>
      <c r="BG510" s="25"/>
      <c r="BH510" s="25"/>
      <c r="BI510" s="25"/>
    </row>
    <row r="511" spans="2:61" x14ac:dyDescent="0.35"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  <c r="AO511" s="25"/>
      <c r="AP511" s="25"/>
      <c r="AQ511" s="25"/>
      <c r="AR511" s="25"/>
      <c r="AS511" s="25"/>
      <c r="AT511" s="25"/>
      <c r="AU511" s="25"/>
      <c r="AV511" s="25"/>
      <c r="AW511" s="25"/>
      <c r="AX511" s="25"/>
      <c r="AY511" s="25"/>
      <c r="AZ511" s="25"/>
      <c r="BA511" s="25"/>
      <c r="BB511" s="25"/>
      <c r="BC511" s="25"/>
      <c r="BD511" s="25"/>
      <c r="BE511" s="25"/>
      <c r="BF511" s="25"/>
      <c r="BG511" s="25"/>
      <c r="BH511" s="25"/>
      <c r="BI511" s="25"/>
    </row>
    <row r="512" spans="2:61" x14ac:dyDescent="0.35"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  <c r="AO512" s="25"/>
      <c r="AP512" s="25"/>
      <c r="AQ512" s="25"/>
      <c r="AR512" s="25"/>
      <c r="AS512" s="25"/>
      <c r="AT512" s="25"/>
      <c r="AU512" s="25"/>
      <c r="AV512" s="25"/>
      <c r="AW512" s="25"/>
      <c r="AX512" s="25"/>
      <c r="AY512" s="25"/>
      <c r="AZ512" s="25"/>
      <c r="BA512" s="25"/>
      <c r="BB512" s="25"/>
      <c r="BC512" s="25"/>
      <c r="BD512" s="25"/>
      <c r="BE512" s="25"/>
      <c r="BF512" s="25"/>
      <c r="BG512" s="25"/>
      <c r="BH512" s="25"/>
      <c r="BI512" s="25"/>
    </row>
    <row r="513" spans="2:61" x14ac:dyDescent="0.35"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  <c r="AO513" s="25"/>
      <c r="AP513" s="25"/>
      <c r="AQ513" s="25"/>
      <c r="AR513" s="25"/>
      <c r="AS513" s="25"/>
      <c r="AT513" s="25"/>
      <c r="AU513" s="25"/>
      <c r="AV513" s="25"/>
      <c r="AW513" s="25"/>
      <c r="AX513" s="25"/>
      <c r="AY513" s="25"/>
      <c r="AZ513" s="25"/>
      <c r="BA513" s="25"/>
      <c r="BB513" s="25"/>
      <c r="BC513" s="25"/>
      <c r="BD513" s="25"/>
      <c r="BE513" s="25"/>
      <c r="BF513" s="25"/>
      <c r="BG513" s="25"/>
      <c r="BH513" s="25"/>
      <c r="BI513" s="25"/>
    </row>
    <row r="514" spans="2:61" x14ac:dyDescent="0.35"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  <c r="AO514" s="25"/>
      <c r="AP514" s="25"/>
      <c r="AQ514" s="25"/>
      <c r="AR514" s="25"/>
      <c r="AS514" s="25"/>
      <c r="AT514" s="25"/>
      <c r="AU514" s="25"/>
      <c r="AV514" s="25"/>
      <c r="AW514" s="25"/>
      <c r="AX514" s="25"/>
      <c r="AY514" s="25"/>
      <c r="AZ514" s="25"/>
      <c r="BA514" s="25"/>
      <c r="BB514" s="25"/>
      <c r="BC514" s="25"/>
      <c r="BD514" s="25"/>
      <c r="BE514" s="25"/>
      <c r="BF514" s="25"/>
      <c r="BG514" s="25"/>
      <c r="BH514" s="25"/>
      <c r="BI514" s="25"/>
    </row>
    <row r="515" spans="2:61" x14ac:dyDescent="0.35"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  <c r="AO515" s="25"/>
      <c r="AP515" s="25"/>
      <c r="AQ515" s="25"/>
      <c r="AR515" s="25"/>
      <c r="AS515" s="25"/>
      <c r="AT515" s="25"/>
      <c r="AU515" s="25"/>
      <c r="AV515" s="25"/>
      <c r="AW515" s="25"/>
      <c r="AX515" s="25"/>
      <c r="AY515" s="25"/>
      <c r="AZ515" s="25"/>
      <c r="BA515" s="25"/>
      <c r="BB515" s="25"/>
      <c r="BC515" s="25"/>
      <c r="BD515" s="25"/>
      <c r="BE515" s="25"/>
      <c r="BF515" s="25"/>
      <c r="BG515" s="25"/>
      <c r="BH515" s="25"/>
      <c r="BI515" s="25"/>
    </row>
    <row r="516" spans="2:61" x14ac:dyDescent="0.35"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  <c r="AO516" s="25"/>
      <c r="AP516" s="25"/>
      <c r="AQ516" s="25"/>
      <c r="AR516" s="25"/>
      <c r="AS516" s="25"/>
      <c r="AT516" s="25"/>
      <c r="AU516" s="25"/>
      <c r="AV516" s="25"/>
      <c r="AW516" s="25"/>
      <c r="AX516" s="25"/>
      <c r="AY516" s="25"/>
      <c r="AZ516" s="25"/>
      <c r="BA516" s="25"/>
      <c r="BB516" s="25"/>
      <c r="BC516" s="25"/>
      <c r="BD516" s="25"/>
      <c r="BE516" s="25"/>
      <c r="BF516" s="25"/>
      <c r="BG516" s="25"/>
      <c r="BH516" s="25"/>
      <c r="BI516" s="25"/>
    </row>
    <row r="517" spans="2:61" x14ac:dyDescent="0.35"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  <c r="AO517" s="25"/>
      <c r="AP517" s="25"/>
      <c r="AQ517" s="25"/>
      <c r="AR517" s="25"/>
      <c r="AS517" s="25"/>
      <c r="AT517" s="25"/>
      <c r="AU517" s="25"/>
      <c r="AV517" s="25"/>
      <c r="AW517" s="25"/>
      <c r="AX517" s="25"/>
      <c r="AY517" s="25"/>
      <c r="AZ517" s="25"/>
      <c r="BA517" s="25"/>
      <c r="BB517" s="25"/>
      <c r="BC517" s="25"/>
      <c r="BD517" s="25"/>
      <c r="BE517" s="25"/>
      <c r="BF517" s="25"/>
      <c r="BG517" s="25"/>
      <c r="BH517" s="25"/>
      <c r="BI517" s="25"/>
    </row>
    <row r="518" spans="2:61" x14ac:dyDescent="0.35"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  <c r="AO518" s="25"/>
      <c r="AP518" s="25"/>
      <c r="AQ518" s="25"/>
      <c r="AR518" s="25"/>
      <c r="AS518" s="25"/>
      <c r="AT518" s="25"/>
      <c r="AU518" s="25"/>
      <c r="AV518" s="25"/>
      <c r="AW518" s="25"/>
      <c r="AX518" s="25"/>
      <c r="AY518" s="25"/>
      <c r="AZ518" s="25"/>
      <c r="BA518" s="25"/>
      <c r="BB518" s="25"/>
      <c r="BC518" s="25"/>
      <c r="BD518" s="25"/>
      <c r="BE518" s="25"/>
      <c r="BF518" s="25"/>
      <c r="BG518" s="25"/>
      <c r="BH518" s="25"/>
      <c r="BI518" s="25"/>
    </row>
    <row r="519" spans="2:61" x14ac:dyDescent="0.35"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  <c r="AO519" s="25"/>
      <c r="AP519" s="25"/>
      <c r="AQ519" s="25"/>
      <c r="AR519" s="25"/>
      <c r="AS519" s="25"/>
      <c r="AT519" s="25"/>
      <c r="AU519" s="25"/>
      <c r="AV519" s="25"/>
      <c r="AW519" s="25"/>
      <c r="AX519" s="25"/>
      <c r="AY519" s="25"/>
      <c r="AZ519" s="25"/>
      <c r="BA519" s="25"/>
      <c r="BB519" s="25"/>
      <c r="BC519" s="25"/>
      <c r="BD519" s="25"/>
      <c r="BE519" s="25"/>
      <c r="BF519" s="25"/>
      <c r="BG519" s="25"/>
      <c r="BH519" s="25"/>
      <c r="BI519" s="25"/>
    </row>
    <row r="520" spans="2:61" x14ac:dyDescent="0.35"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  <c r="AO520" s="25"/>
      <c r="AP520" s="25"/>
      <c r="AQ520" s="25"/>
      <c r="AR520" s="25"/>
      <c r="AS520" s="25"/>
      <c r="AT520" s="25"/>
      <c r="AU520" s="25"/>
      <c r="AV520" s="25"/>
      <c r="AW520" s="25"/>
      <c r="AX520" s="25"/>
      <c r="AY520" s="25"/>
      <c r="AZ520" s="25"/>
      <c r="BA520" s="25"/>
      <c r="BB520" s="25"/>
      <c r="BC520" s="25"/>
      <c r="BD520" s="25"/>
      <c r="BE520" s="25"/>
      <c r="BF520" s="25"/>
      <c r="BG520" s="25"/>
      <c r="BH520" s="25"/>
      <c r="BI520" s="25"/>
    </row>
    <row r="521" spans="2:61" x14ac:dyDescent="0.35"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  <c r="AO521" s="25"/>
      <c r="AP521" s="25"/>
      <c r="AQ521" s="25"/>
      <c r="AR521" s="25"/>
      <c r="AS521" s="25"/>
      <c r="AT521" s="25"/>
      <c r="AU521" s="25"/>
      <c r="AV521" s="25"/>
      <c r="AW521" s="25"/>
      <c r="AX521" s="25"/>
      <c r="AY521" s="25"/>
      <c r="AZ521" s="25"/>
      <c r="BA521" s="25"/>
      <c r="BB521" s="25"/>
      <c r="BC521" s="25"/>
      <c r="BD521" s="25"/>
      <c r="BE521" s="25"/>
      <c r="BF521" s="25"/>
      <c r="BG521" s="25"/>
      <c r="BH521" s="25"/>
      <c r="BI521" s="25"/>
    </row>
    <row r="522" spans="2:61" x14ac:dyDescent="0.35"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  <c r="AO522" s="25"/>
      <c r="AP522" s="25"/>
      <c r="AQ522" s="25"/>
      <c r="AR522" s="25"/>
      <c r="AS522" s="25"/>
      <c r="AT522" s="25"/>
      <c r="AU522" s="25"/>
      <c r="AV522" s="25"/>
      <c r="AW522" s="25"/>
      <c r="AX522" s="25"/>
      <c r="AY522" s="25"/>
      <c r="AZ522" s="25"/>
      <c r="BA522" s="25"/>
      <c r="BB522" s="25"/>
      <c r="BC522" s="25"/>
      <c r="BD522" s="25"/>
      <c r="BE522" s="25"/>
      <c r="BF522" s="25"/>
      <c r="BG522" s="25"/>
      <c r="BH522" s="25"/>
      <c r="BI522" s="25"/>
    </row>
    <row r="523" spans="2:61" x14ac:dyDescent="0.35"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  <c r="AO523" s="25"/>
      <c r="AP523" s="25"/>
      <c r="AQ523" s="25"/>
      <c r="AR523" s="25"/>
      <c r="AS523" s="25"/>
      <c r="AT523" s="25"/>
      <c r="AU523" s="25"/>
      <c r="AV523" s="25"/>
      <c r="AW523" s="25"/>
      <c r="AX523" s="25"/>
      <c r="AY523" s="25"/>
      <c r="AZ523" s="25"/>
      <c r="BA523" s="25"/>
      <c r="BB523" s="25"/>
      <c r="BC523" s="25"/>
      <c r="BD523" s="25"/>
      <c r="BE523" s="25"/>
      <c r="BF523" s="25"/>
      <c r="BG523" s="25"/>
      <c r="BH523" s="25"/>
      <c r="BI523" s="25"/>
    </row>
    <row r="524" spans="2:61" x14ac:dyDescent="0.35"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  <c r="AO524" s="25"/>
      <c r="AP524" s="25"/>
      <c r="AQ524" s="25"/>
      <c r="AR524" s="25"/>
      <c r="AS524" s="25"/>
      <c r="AT524" s="25"/>
      <c r="AU524" s="25"/>
      <c r="AV524" s="25"/>
      <c r="AW524" s="25"/>
      <c r="AX524" s="25"/>
      <c r="AY524" s="25"/>
      <c r="AZ524" s="25"/>
      <c r="BA524" s="25"/>
      <c r="BB524" s="25"/>
      <c r="BC524" s="25"/>
      <c r="BD524" s="25"/>
      <c r="BE524" s="25"/>
      <c r="BF524" s="25"/>
      <c r="BG524" s="25"/>
      <c r="BH524" s="25"/>
      <c r="BI524" s="25"/>
    </row>
    <row r="525" spans="2:61" x14ac:dyDescent="0.35"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  <c r="AO525" s="25"/>
      <c r="AP525" s="25"/>
      <c r="AQ525" s="25"/>
      <c r="AR525" s="25"/>
      <c r="AS525" s="25"/>
      <c r="AT525" s="25"/>
      <c r="AU525" s="25"/>
      <c r="AV525" s="25"/>
      <c r="AW525" s="25"/>
      <c r="AX525" s="25"/>
      <c r="AY525" s="25"/>
      <c r="AZ525" s="25"/>
      <c r="BA525" s="25"/>
      <c r="BB525" s="25"/>
      <c r="BC525" s="25"/>
      <c r="BD525" s="25"/>
      <c r="BE525" s="25"/>
      <c r="BF525" s="25"/>
      <c r="BG525" s="25"/>
      <c r="BH525" s="25"/>
      <c r="BI525" s="25"/>
    </row>
    <row r="526" spans="2:61" x14ac:dyDescent="0.35"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  <c r="AO526" s="25"/>
      <c r="AP526" s="25"/>
      <c r="AQ526" s="25"/>
      <c r="AR526" s="25"/>
      <c r="AS526" s="25"/>
      <c r="AT526" s="25"/>
      <c r="AU526" s="25"/>
      <c r="AV526" s="25"/>
      <c r="AW526" s="25"/>
      <c r="AX526" s="25"/>
      <c r="AY526" s="25"/>
      <c r="AZ526" s="25"/>
      <c r="BA526" s="25"/>
      <c r="BB526" s="25"/>
      <c r="BC526" s="25"/>
      <c r="BD526" s="25"/>
      <c r="BE526" s="25"/>
      <c r="BF526" s="25"/>
      <c r="BG526" s="25"/>
      <c r="BH526" s="25"/>
      <c r="BI526" s="25"/>
    </row>
    <row r="527" spans="2:61" x14ac:dyDescent="0.35"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  <c r="AO527" s="25"/>
      <c r="AP527" s="25"/>
      <c r="AQ527" s="25"/>
      <c r="AR527" s="25"/>
      <c r="AS527" s="25"/>
      <c r="AT527" s="25"/>
      <c r="AU527" s="25"/>
      <c r="AV527" s="25"/>
      <c r="AW527" s="25"/>
      <c r="AX527" s="25"/>
      <c r="AY527" s="25"/>
      <c r="AZ527" s="25"/>
      <c r="BA527" s="25"/>
      <c r="BB527" s="25"/>
      <c r="BC527" s="25"/>
      <c r="BD527" s="25"/>
      <c r="BE527" s="25"/>
      <c r="BF527" s="25"/>
      <c r="BG527" s="25"/>
      <c r="BH527" s="25"/>
      <c r="BI527" s="25"/>
    </row>
    <row r="528" spans="2:61" x14ac:dyDescent="0.35"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  <c r="AO528" s="25"/>
      <c r="AP528" s="25"/>
      <c r="AQ528" s="25"/>
      <c r="AR528" s="25"/>
      <c r="AS528" s="25"/>
      <c r="AT528" s="25"/>
      <c r="AU528" s="25"/>
      <c r="AV528" s="25"/>
      <c r="AW528" s="25"/>
      <c r="AX528" s="25"/>
      <c r="AY528" s="25"/>
      <c r="AZ528" s="25"/>
      <c r="BA528" s="25"/>
      <c r="BB528" s="25"/>
      <c r="BC528" s="25"/>
      <c r="BD528" s="25"/>
      <c r="BE528" s="25"/>
      <c r="BF528" s="25"/>
      <c r="BG528" s="25"/>
      <c r="BH528" s="25"/>
      <c r="BI528" s="25"/>
    </row>
    <row r="529" spans="2:61" x14ac:dyDescent="0.35"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  <c r="AO529" s="25"/>
      <c r="AP529" s="25"/>
      <c r="AQ529" s="25"/>
      <c r="AR529" s="25"/>
      <c r="AS529" s="25"/>
      <c r="AT529" s="25"/>
      <c r="AU529" s="25"/>
      <c r="AV529" s="25"/>
      <c r="AW529" s="25"/>
      <c r="AX529" s="25"/>
      <c r="AY529" s="25"/>
      <c r="AZ529" s="25"/>
      <c r="BA529" s="25"/>
      <c r="BB529" s="25"/>
      <c r="BC529" s="25"/>
      <c r="BD529" s="25"/>
      <c r="BE529" s="25"/>
      <c r="BF529" s="25"/>
      <c r="BG529" s="25"/>
      <c r="BH529" s="25"/>
      <c r="BI529" s="25"/>
    </row>
    <row r="530" spans="2:61" x14ac:dyDescent="0.35"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  <c r="AO530" s="25"/>
      <c r="AP530" s="25"/>
      <c r="AQ530" s="25"/>
      <c r="AR530" s="25"/>
      <c r="AS530" s="25"/>
      <c r="AT530" s="25"/>
      <c r="AU530" s="25"/>
      <c r="AV530" s="25"/>
      <c r="AW530" s="25"/>
      <c r="AX530" s="25"/>
      <c r="AY530" s="25"/>
      <c r="AZ530" s="25"/>
      <c r="BA530" s="25"/>
      <c r="BB530" s="25"/>
      <c r="BC530" s="25"/>
      <c r="BD530" s="25"/>
      <c r="BE530" s="25"/>
      <c r="BF530" s="25"/>
      <c r="BG530" s="25"/>
      <c r="BH530" s="25"/>
      <c r="BI530" s="25"/>
    </row>
    <row r="531" spans="2:61" x14ac:dyDescent="0.35"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  <c r="AO531" s="25"/>
      <c r="AP531" s="25"/>
      <c r="AQ531" s="25"/>
      <c r="AR531" s="25"/>
      <c r="AS531" s="25"/>
      <c r="AT531" s="25"/>
      <c r="AU531" s="25"/>
      <c r="AV531" s="25"/>
      <c r="AW531" s="25"/>
      <c r="AX531" s="25"/>
      <c r="AY531" s="25"/>
      <c r="AZ531" s="25"/>
      <c r="BA531" s="25"/>
      <c r="BB531" s="25"/>
      <c r="BC531" s="25"/>
      <c r="BD531" s="25"/>
      <c r="BE531" s="25"/>
      <c r="BF531" s="25"/>
      <c r="BG531" s="25"/>
      <c r="BH531" s="25"/>
      <c r="BI531" s="25"/>
    </row>
    <row r="532" spans="2:61" x14ac:dyDescent="0.35"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  <c r="AO532" s="25"/>
      <c r="AP532" s="25"/>
      <c r="AQ532" s="25"/>
      <c r="AR532" s="25"/>
      <c r="AS532" s="25"/>
      <c r="AT532" s="25"/>
      <c r="AU532" s="25"/>
      <c r="AV532" s="25"/>
      <c r="AW532" s="25"/>
      <c r="AX532" s="25"/>
      <c r="AY532" s="25"/>
      <c r="AZ532" s="25"/>
      <c r="BA532" s="25"/>
      <c r="BB532" s="25"/>
      <c r="BC532" s="25"/>
      <c r="BD532" s="25"/>
      <c r="BE532" s="25"/>
      <c r="BF532" s="25"/>
      <c r="BG532" s="25"/>
      <c r="BH532" s="25"/>
      <c r="BI532" s="25"/>
    </row>
    <row r="533" spans="2:61" x14ac:dyDescent="0.35"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  <c r="AO533" s="25"/>
      <c r="AP533" s="25"/>
      <c r="AQ533" s="25"/>
      <c r="AR533" s="25"/>
      <c r="AS533" s="25"/>
      <c r="AT533" s="25"/>
      <c r="AU533" s="25"/>
      <c r="AV533" s="25"/>
      <c r="AW533" s="25"/>
      <c r="AX533" s="25"/>
      <c r="AY533" s="25"/>
      <c r="AZ533" s="25"/>
      <c r="BA533" s="25"/>
      <c r="BB533" s="25"/>
      <c r="BC533" s="25"/>
      <c r="BD533" s="25"/>
      <c r="BE533" s="25"/>
      <c r="BF533" s="25"/>
      <c r="BG533" s="25"/>
      <c r="BH533" s="25"/>
      <c r="BI533" s="25"/>
    </row>
    <row r="534" spans="2:61" x14ac:dyDescent="0.35"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  <c r="AO534" s="25"/>
      <c r="AP534" s="25"/>
      <c r="AQ534" s="25"/>
      <c r="AR534" s="25"/>
      <c r="AS534" s="25"/>
      <c r="AT534" s="25"/>
      <c r="AU534" s="25"/>
      <c r="AV534" s="25"/>
      <c r="AW534" s="25"/>
      <c r="AX534" s="25"/>
      <c r="AY534" s="25"/>
      <c r="AZ534" s="25"/>
      <c r="BA534" s="25"/>
      <c r="BB534" s="25"/>
      <c r="BC534" s="25"/>
      <c r="BD534" s="25"/>
      <c r="BE534" s="25"/>
      <c r="BF534" s="25"/>
      <c r="BG534" s="25"/>
      <c r="BH534" s="25"/>
      <c r="BI534" s="25"/>
    </row>
    <row r="535" spans="2:61" x14ac:dyDescent="0.35"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  <c r="AO535" s="25"/>
      <c r="AP535" s="25"/>
      <c r="AQ535" s="25"/>
      <c r="AR535" s="25"/>
      <c r="AS535" s="25"/>
      <c r="AT535" s="25"/>
      <c r="AU535" s="25"/>
      <c r="AV535" s="25"/>
      <c r="AW535" s="25"/>
      <c r="AX535" s="25"/>
      <c r="AY535" s="25"/>
      <c r="AZ535" s="25"/>
      <c r="BA535" s="25"/>
      <c r="BB535" s="25"/>
      <c r="BC535" s="25"/>
      <c r="BD535" s="25"/>
      <c r="BE535" s="25"/>
      <c r="BF535" s="25"/>
      <c r="BG535" s="25"/>
      <c r="BH535" s="25"/>
      <c r="BI535" s="25"/>
    </row>
    <row r="536" spans="2:61" x14ac:dyDescent="0.35"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  <c r="AO536" s="25"/>
      <c r="AP536" s="25"/>
      <c r="AQ536" s="25"/>
      <c r="AR536" s="25"/>
      <c r="AS536" s="25"/>
      <c r="AT536" s="25"/>
      <c r="AU536" s="25"/>
      <c r="AV536" s="25"/>
      <c r="AW536" s="25"/>
      <c r="AX536" s="25"/>
      <c r="AY536" s="25"/>
      <c r="AZ536" s="25"/>
      <c r="BA536" s="25"/>
      <c r="BB536" s="25"/>
      <c r="BC536" s="25"/>
      <c r="BD536" s="25"/>
      <c r="BE536" s="25"/>
      <c r="BF536" s="25"/>
      <c r="BG536" s="25"/>
      <c r="BH536" s="25"/>
      <c r="BI536" s="25"/>
    </row>
    <row r="537" spans="2:61" x14ac:dyDescent="0.35"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  <c r="AO537" s="25"/>
      <c r="AP537" s="25"/>
      <c r="AQ537" s="25"/>
      <c r="AR537" s="25"/>
      <c r="AS537" s="25"/>
      <c r="AT537" s="25"/>
      <c r="AU537" s="25"/>
      <c r="AV537" s="25"/>
      <c r="AW537" s="25"/>
      <c r="AX537" s="25"/>
      <c r="AY537" s="25"/>
      <c r="AZ537" s="25"/>
      <c r="BA537" s="25"/>
      <c r="BB537" s="25"/>
      <c r="BC537" s="25"/>
      <c r="BD537" s="25"/>
      <c r="BE537" s="25"/>
      <c r="BF537" s="25"/>
      <c r="BG537" s="25"/>
      <c r="BH537" s="25"/>
      <c r="BI537" s="25"/>
    </row>
    <row r="538" spans="2:61" x14ac:dyDescent="0.35"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  <c r="AO538" s="25"/>
      <c r="AP538" s="25"/>
      <c r="AQ538" s="25"/>
      <c r="AR538" s="25"/>
      <c r="AS538" s="25"/>
      <c r="AT538" s="25"/>
      <c r="AU538" s="25"/>
      <c r="AV538" s="25"/>
      <c r="AW538" s="25"/>
      <c r="AX538" s="25"/>
      <c r="AY538" s="25"/>
      <c r="AZ538" s="25"/>
      <c r="BA538" s="25"/>
      <c r="BB538" s="25"/>
      <c r="BC538" s="25"/>
      <c r="BD538" s="25"/>
      <c r="BE538" s="25"/>
      <c r="BF538" s="25"/>
      <c r="BG538" s="25"/>
      <c r="BH538" s="25"/>
      <c r="BI538" s="25"/>
    </row>
    <row r="539" spans="2:61" x14ac:dyDescent="0.35"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  <c r="AO539" s="25"/>
      <c r="AP539" s="25"/>
      <c r="AQ539" s="25"/>
      <c r="AR539" s="25"/>
      <c r="AS539" s="25"/>
      <c r="AT539" s="25"/>
      <c r="AU539" s="25"/>
      <c r="AV539" s="25"/>
      <c r="AW539" s="25"/>
      <c r="AX539" s="25"/>
      <c r="AY539" s="25"/>
      <c r="AZ539" s="25"/>
      <c r="BA539" s="25"/>
      <c r="BB539" s="25"/>
      <c r="BC539" s="25"/>
      <c r="BD539" s="25"/>
      <c r="BE539" s="25"/>
      <c r="BF539" s="25"/>
      <c r="BG539" s="25"/>
      <c r="BH539" s="25"/>
      <c r="BI539" s="25"/>
    </row>
    <row r="540" spans="2:61" x14ac:dyDescent="0.35"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  <c r="AO540" s="25"/>
      <c r="AP540" s="25"/>
      <c r="AQ540" s="25"/>
      <c r="AR540" s="25"/>
      <c r="AS540" s="25"/>
      <c r="AT540" s="25"/>
      <c r="AU540" s="25"/>
      <c r="AV540" s="25"/>
      <c r="AW540" s="25"/>
      <c r="AX540" s="25"/>
      <c r="AY540" s="25"/>
      <c r="AZ540" s="25"/>
      <c r="BA540" s="25"/>
      <c r="BB540" s="25"/>
      <c r="BC540" s="25"/>
      <c r="BD540" s="25"/>
      <c r="BE540" s="25"/>
      <c r="BF540" s="25"/>
      <c r="BG540" s="25"/>
      <c r="BH540" s="25"/>
      <c r="BI540" s="25"/>
    </row>
    <row r="541" spans="2:61" x14ac:dyDescent="0.35"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  <c r="AO541" s="25"/>
      <c r="AP541" s="25"/>
      <c r="AQ541" s="25"/>
      <c r="AR541" s="25"/>
      <c r="AS541" s="25"/>
      <c r="AT541" s="25"/>
      <c r="AU541" s="25"/>
      <c r="AV541" s="25"/>
      <c r="AW541" s="25"/>
      <c r="AX541" s="25"/>
      <c r="AY541" s="25"/>
      <c r="AZ541" s="25"/>
      <c r="BA541" s="25"/>
      <c r="BB541" s="25"/>
      <c r="BC541" s="25"/>
      <c r="BD541" s="25"/>
      <c r="BE541" s="25"/>
      <c r="BF541" s="25"/>
      <c r="BG541" s="25"/>
      <c r="BH541" s="25"/>
      <c r="BI541" s="25"/>
    </row>
    <row r="542" spans="2:61" x14ac:dyDescent="0.35"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  <c r="AO542" s="25"/>
      <c r="AP542" s="25"/>
      <c r="AQ542" s="25"/>
      <c r="AR542" s="25"/>
      <c r="AS542" s="25"/>
      <c r="AT542" s="25"/>
      <c r="AU542" s="25"/>
      <c r="AV542" s="25"/>
      <c r="AW542" s="25"/>
      <c r="AX542" s="25"/>
      <c r="AY542" s="25"/>
      <c r="AZ542" s="25"/>
      <c r="BA542" s="25"/>
      <c r="BB542" s="25"/>
      <c r="BC542" s="25"/>
      <c r="BD542" s="25"/>
      <c r="BE542" s="25"/>
      <c r="BF542" s="25"/>
      <c r="BG542" s="25"/>
      <c r="BH542" s="25"/>
      <c r="BI542" s="25"/>
    </row>
    <row r="543" spans="2:61" x14ac:dyDescent="0.35"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  <c r="AO543" s="25"/>
      <c r="AP543" s="25"/>
      <c r="AQ543" s="25"/>
      <c r="AR543" s="25"/>
      <c r="AS543" s="25"/>
      <c r="AT543" s="25"/>
      <c r="AU543" s="25"/>
      <c r="AV543" s="25"/>
      <c r="AW543" s="25"/>
      <c r="AX543" s="25"/>
      <c r="AY543" s="25"/>
      <c r="AZ543" s="25"/>
      <c r="BA543" s="25"/>
      <c r="BB543" s="25"/>
      <c r="BC543" s="25"/>
      <c r="BD543" s="25"/>
      <c r="BE543" s="25"/>
      <c r="BF543" s="25"/>
      <c r="BG543" s="25"/>
      <c r="BH543" s="25"/>
      <c r="BI543" s="25"/>
    </row>
    <row r="544" spans="2:61" x14ac:dyDescent="0.35"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  <c r="AO544" s="25"/>
      <c r="AP544" s="25"/>
      <c r="AQ544" s="25"/>
      <c r="AR544" s="25"/>
      <c r="AS544" s="25"/>
      <c r="AT544" s="25"/>
      <c r="AU544" s="25"/>
      <c r="AV544" s="25"/>
      <c r="AW544" s="25"/>
      <c r="AX544" s="25"/>
      <c r="AY544" s="25"/>
      <c r="AZ544" s="25"/>
      <c r="BA544" s="25"/>
      <c r="BB544" s="25"/>
      <c r="BC544" s="25"/>
      <c r="BD544" s="25"/>
      <c r="BE544" s="25"/>
      <c r="BF544" s="25"/>
      <c r="BG544" s="25"/>
      <c r="BH544" s="25"/>
      <c r="BI544" s="25"/>
    </row>
    <row r="545" spans="2:61" x14ac:dyDescent="0.35"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  <c r="AO545" s="25"/>
      <c r="AP545" s="25"/>
      <c r="AQ545" s="25"/>
      <c r="AR545" s="25"/>
      <c r="AS545" s="25"/>
      <c r="AT545" s="25"/>
      <c r="AU545" s="25"/>
      <c r="AV545" s="25"/>
      <c r="AW545" s="25"/>
      <c r="AX545" s="25"/>
      <c r="AY545" s="25"/>
      <c r="AZ545" s="25"/>
      <c r="BA545" s="25"/>
      <c r="BB545" s="25"/>
      <c r="BC545" s="25"/>
      <c r="BD545" s="25"/>
      <c r="BE545" s="25"/>
      <c r="BF545" s="25"/>
      <c r="BG545" s="25"/>
      <c r="BH545" s="25"/>
      <c r="BI545" s="25"/>
    </row>
    <row r="546" spans="2:61" x14ac:dyDescent="0.35"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  <c r="AO546" s="25"/>
      <c r="AP546" s="25"/>
      <c r="AQ546" s="25"/>
      <c r="AR546" s="25"/>
      <c r="AS546" s="25"/>
      <c r="AT546" s="25"/>
      <c r="AU546" s="25"/>
      <c r="AV546" s="25"/>
      <c r="AW546" s="25"/>
      <c r="AX546" s="25"/>
      <c r="AY546" s="25"/>
      <c r="AZ546" s="25"/>
      <c r="BA546" s="25"/>
      <c r="BB546" s="25"/>
      <c r="BC546" s="25"/>
      <c r="BD546" s="25"/>
      <c r="BE546" s="25"/>
      <c r="BF546" s="25"/>
      <c r="BG546" s="25"/>
      <c r="BH546" s="25"/>
      <c r="BI546" s="25"/>
    </row>
    <row r="547" spans="2:61" x14ac:dyDescent="0.35"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  <c r="AO547" s="25"/>
      <c r="AP547" s="25"/>
      <c r="AQ547" s="25"/>
      <c r="AR547" s="25"/>
      <c r="AS547" s="25"/>
      <c r="AT547" s="25"/>
      <c r="AU547" s="25"/>
      <c r="AV547" s="25"/>
      <c r="AW547" s="25"/>
      <c r="AX547" s="25"/>
      <c r="AY547" s="25"/>
      <c r="AZ547" s="25"/>
      <c r="BA547" s="25"/>
      <c r="BB547" s="25"/>
      <c r="BC547" s="25"/>
      <c r="BD547" s="25"/>
      <c r="BE547" s="25"/>
      <c r="BF547" s="25"/>
      <c r="BG547" s="25"/>
      <c r="BH547" s="25"/>
      <c r="BI547" s="25"/>
    </row>
    <row r="548" spans="2:61" x14ac:dyDescent="0.35"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  <c r="AO548" s="25"/>
      <c r="AP548" s="25"/>
      <c r="AQ548" s="25"/>
      <c r="AR548" s="25"/>
      <c r="AS548" s="25"/>
      <c r="AT548" s="25"/>
      <c r="AU548" s="25"/>
      <c r="AV548" s="25"/>
      <c r="AW548" s="25"/>
      <c r="AX548" s="25"/>
      <c r="AY548" s="25"/>
      <c r="AZ548" s="25"/>
      <c r="BA548" s="25"/>
      <c r="BB548" s="25"/>
      <c r="BC548" s="25"/>
      <c r="BD548" s="25"/>
      <c r="BE548" s="25"/>
      <c r="BF548" s="25"/>
      <c r="BG548" s="25"/>
      <c r="BH548" s="25"/>
      <c r="BI548" s="25"/>
    </row>
    <row r="549" spans="2:61" x14ac:dyDescent="0.35"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  <c r="AO549" s="25"/>
      <c r="AP549" s="25"/>
      <c r="AQ549" s="25"/>
      <c r="AR549" s="25"/>
      <c r="AS549" s="25"/>
      <c r="AT549" s="25"/>
      <c r="AU549" s="25"/>
      <c r="AV549" s="25"/>
      <c r="AW549" s="25"/>
      <c r="AX549" s="25"/>
      <c r="AY549" s="25"/>
      <c r="AZ549" s="25"/>
      <c r="BA549" s="25"/>
      <c r="BB549" s="25"/>
      <c r="BC549" s="25"/>
      <c r="BD549" s="25"/>
      <c r="BE549" s="25"/>
      <c r="BF549" s="25"/>
      <c r="BG549" s="25"/>
      <c r="BH549" s="25"/>
      <c r="BI549" s="25"/>
    </row>
    <row r="550" spans="2:61" x14ac:dyDescent="0.35"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  <c r="AO550" s="25"/>
      <c r="AP550" s="25"/>
      <c r="AQ550" s="25"/>
      <c r="AR550" s="25"/>
      <c r="AS550" s="25"/>
      <c r="AT550" s="25"/>
      <c r="AU550" s="25"/>
      <c r="AV550" s="25"/>
      <c r="AW550" s="25"/>
      <c r="AX550" s="25"/>
      <c r="AY550" s="25"/>
      <c r="AZ550" s="25"/>
      <c r="BA550" s="25"/>
      <c r="BB550" s="25"/>
      <c r="BC550" s="25"/>
      <c r="BD550" s="25"/>
      <c r="BE550" s="25"/>
      <c r="BF550" s="25"/>
      <c r="BG550" s="25"/>
      <c r="BH550" s="25"/>
      <c r="BI550" s="25"/>
    </row>
    <row r="551" spans="2:61" x14ac:dyDescent="0.35"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  <c r="AO551" s="25"/>
      <c r="AP551" s="25"/>
      <c r="AQ551" s="25"/>
      <c r="AR551" s="25"/>
      <c r="AS551" s="25"/>
      <c r="AT551" s="25"/>
      <c r="AU551" s="25"/>
      <c r="AV551" s="25"/>
      <c r="AW551" s="25"/>
      <c r="AX551" s="25"/>
      <c r="AY551" s="25"/>
      <c r="AZ551" s="25"/>
      <c r="BA551" s="25"/>
      <c r="BB551" s="25"/>
      <c r="BC551" s="25"/>
      <c r="BD551" s="25"/>
      <c r="BE551" s="25"/>
      <c r="BF551" s="25"/>
      <c r="BG551" s="25"/>
      <c r="BH551" s="25"/>
      <c r="BI551" s="25"/>
    </row>
    <row r="552" spans="2:61" x14ac:dyDescent="0.35"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  <c r="AO552" s="25"/>
      <c r="AP552" s="25"/>
      <c r="AQ552" s="25"/>
      <c r="AR552" s="25"/>
      <c r="AS552" s="25"/>
      <c r="AT552" s="25"/>
      <c r="AU552" s="25"/>
      <c r="AV552" s="25"/>
      <c r="AW552" s="25"/>
      <c r="AX552" s="25"/>
      <c r="AY552" s="25"/>
      <c r="AZ552" s="25"/>
      <c r="BA552" s="25"/>
      <c r="BB552" s="25"/>
      <c r="BC552" s="25"/>
      <c r="BD552" s="25"/>
      <c r="BE552" s="25"/>
      <c r="BF552" s="25"/>
      <c r="BG552" s="25"/>
      <c r="BH552" s="25"/>
      <c r="BI552" s="25"/>
    </row>
    <row r="553" spans="2:61" x14ac:dyDescent="0.35"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  <c r="AO553" s="25"/>
      <c r="AP553" s="25"/>
      <c r="AQ553" s="25"/>
      <c r="AR553" s="25"/>
      <c r="AS553" s="25"/>
      <c r="AT553" s="25"/>
      <c r="AU553" s="25"/>
      <c r="AV553" s="25"/>
      <c r="AW553" s="25"/>
      <c r="AX553" s="25"/>
      <c r="AY553" s="25"/>
      <c r="AZ553" s="25"/>
      <c r="BA553" s="25"/>
      <c r="BB553" s="25"/>
      <c r="BC553" s="25"/>
      <c r="BD553" s="25"/>
      <c r="BE553" s="25"/>
      <c r="BF553" s="25"/>
      <c r="BG553" s="25"/>
      <c r="BH553" s="25"/>
      <c r="BI553" s="25"/>
    </row>
    <row r="554" spans="2:61" x14ac:dyDescent="0.35"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  <c r="AO554" s="25"/>
      <c r="AP554" s="25"/>
      <c r="AQ554" s="25"/>
      <c r="AR554" s="25"/>
      <c r="AS554" s="25"/>
      <c r="AT554" s="25"/>
      <c r="AU554" s="25"/>
      <c r="AV554" s="25"/>
      <c r="AW554" s="25"/>
      <c r="AX554" s="25"/>
      <c r="AY554" s="25"/>
      <c r="AZ554" s="25"/>
      <c r="BA554" s="25"/>
      <c r="BB554" s="25"/>
      <c r="BC554" s="25"/>
      <c r="BD554" s="25"/>
      <c r="BE554" s="25"/>
      <c r="BF554" s="25"/>
      <c r="BG554" s="25"/>
      <c r="BH554" s="25"/>
      <c r="BI554" s="25"/>
    </row>
    <row r="555" spans="2:61" x14ac:dyDescent="0.35"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  <c r="AO555" s="25"/>
      <c r="AP555" s="25"/>
      <c r="AQ555" s="25"/>
      <c r="AR555" s="25"/>
      <c r="AS555" s="25"/>
      <c r="AT555" s="25"/>
      <c r="AU555" s="25"/>
      <c r="AV555" s="25"/>
      <c r="AW555" s="25"/>
      <c r="AX555" s="25"/>
      <c r="AY555" s="25"/>
      <c r="AZ555" s="25"/>
      <c r="BA555" s="25"/>
      <c r="BB555" s="25"/>
      <c r="BC555" s="25"/>
      <c r="BD555" s="25"/>
      <c r="BE555" s="25"/>
      <c r="BF555" s="25"/>
      <c r="BG555" s="25"/>
      <c r="BH555" s="25"/>
      <c r="BI555" s="25"/>
    </row>
    <row r="556" spans="2:61" x14ac:dyDescent="0.35"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  <c r="AO556" s="25"/>
      <c r="AP556" s="25"/>
      <c r="AQ556" s="25"/>
      <c r="AR556" s="25"/>
      <c r="AS556" s="25"/>
      <c r="AT556" s="25"/>
      <c r="AU556" s="25"/>
      <c r="AV556" s="25"/>
      <c r="AW556" s="25"/>
      <c r="AX556" s="25"/>
      <c r="AY556" s="25"/>
      <c r="AZ556" s="25"/>
      <c r="BA556" s="25"/>
      <c r="BB556" s="25"/>
      <c r="BC556" s="25"/>
      <c r="BD556" s="25"/>
      <c r="BE556" s="25"/>
      <c r="BF556" s="25"/>
      <c r="BG556" s="25"/>
      <c r="BH556" s="25"/>
      <c r="BI556" s="25"/>
    </row>
    <row r="557" spans="2:61" x14ac:dyDescent="0.35"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  <c r="AO557" s="25"/>
      <c r="AP557" s="25"/>
      <c r="AQ557" s="25"/>
      <c r="AR557" s="25"/>
      <c r="AS557" s="25"/>
      <c r="AT557" s="25"/>
      <c r="AU557" s="25"/>
      <c r="AV557" s="25"/>
      <c r="AW557" s="25"/>
      <c r="AX557" s="25"/>
      <c r="AY557" s="25"/>
      <c r="AZ557" s="25"/>
      <c r="BA557" s="25"/>
      <c r="BB557" s="25"/>
      <c r="BC557" s="25"/>
      <c r="BD557" s="25"/>
      <c r="BE557" s="25"/>
      <c r="BF557" s="25"/>
      <c r="BG557" s="25"/>
      <c r="BH557" s="25"/>
      <c r="BI557" s="25"/>
    </row>
    <row r="558" spans="2:61" x14ac:dyDescent="0.35"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  <c r="AO558" s="25"/>
      <c r="AP558" s="25"/>
      <c r="AQ558" s="25"/>
      <c r="AR558" s="25"/>
      <c r="AS558" s="25"/>
      <c r="AT558" s="25"/>
      <c r="AU558" s="25"/>
      <c r="AV558" s="25"/>
      <c r="AW558" s="25"/>
      <c r="AX558" s="25"/>
      <c r="AY558" s="25"/>
      <c r="AZ558" s="25"/>
      <c r="BA558" s="25"/>
      <c r="BB558" s="25"/>
      <c r="BC558" s="25"/>
      <c r="BD558" s="25"/>
      <c r="BE558" s="25"/>
      <c r="BF558" s="25"/>
      <c r="BG558" s="25"/>
      <c r="BH558" s="25"/>
      <c r="BI558" s="25"/>
    </row>
    <row r="559" spans="2:61" x14ac:dyDescent="0.35"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  <c r="AO559" s="25"/>
      <c r="AP559" s="25"/>
      <c r="AQ559" s="25"/>
      <c r="AR559" s="25"/>
      <c r="AS559" s="25"/>
      <c r="AT559" s="25"/>
      <c r="AU559" s="25"/>
      <c r="AV559" s="25"/>
      <c r="AW559" s="25"/>
      <c r="AX559" s="25"/>
      <c r="AY559" s="25"/>
      <c r="AZ559" s="25"/>
      <c r="BA559" s="25"/>
      <c r="BB559" s="25"/>
      <c r="BC559" s="25"/>
      <c r="BD559" s="25"/>
      <c r="BE559" s="25"/>
      <c r="BF559" s="25"/>
      <c r="BG559" s="25"/>
      <c r="BH559" s="25"/>
      <c r="BI559" s="25"/>
    </row>
    <row r="560" spans="2:61" x14ac:dyDescent="0.35"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  <c r="AO560" s="25"/>
      <c r="AP560" s="25"/>
      <c r="AQ560" s="25"/>
      <c r="AR560" s="25"/>
      <c r="AS560" s="25"/>
      <c r="AT560" s="25"/>
      <c r="AU560" s="25"/>
      <c r="AV560" s="25"/>
      <c r="AW560" s="25"/>
      <c r="AX560" s="25"/>
      <c r="AY560" s="25"/>
      <c r="AZ560" s="25"/>
      <c r="BA560" s="25"/>
      <c r="BB560" s="25"/>
      <c r="BC560" s="25"/>
      <c r="BD560" s="25"/>
      <c r="BE560" s="25"/>
      <c r="BF560" s="25"/>
      <c r="BG560" s="25"/>
      <c r="BH560" s="25"/>
      <c r="BI560" s="25"/>
    </row>
    <row r="561" spans="2:61" x14ac:dyDescent="0.35"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  <c r="AO561" s="25"/>
      <c r="AP561" s="25"/>
      <c r="AQ561" s="25"/>
      <c r="AR561" s="25"/>
      <c r="AS561" s="25"/>
      <c r="AT561" s="25"/>
      <c r="AU561" s="25"/>
      <c r="AV561" s="25"/>
      <c r="AW561" s="25"/>
      <c r="AX561" s="25"/>
      <c r="AY561" s="25"/>
      <c r="AZ561" s="25"/>
      <c r="BA561" s="25"/>
      <c r="BB561" s="25"/>
      <c r="BC561" s="25"/>
      <c r="BD561" s="25"/>
      <c r="BE561" s="25"/>
      <c r="BF561" s="25"/>
      <c r="BG561" s="25"/>
      <c r="BH561" s="25"/>
      <c r="BI561" s="25"/>
    </row>
    <row r="562" spans="2:61" x14ac:dyDescent="0.35"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  <c r="AO562" s="25"/>
      <c r="AP562" s="25"/>
      <c r="AQ562" s="25"/>
      <c r="AR562" s="25"/>
      <c r="AS562" s="25"/>
      <c r="AT562" s="25"/>
      <c r="AU562" s="25"/>
      <c r="AV562" s="25"/>
      <c r="AW562" s="25"/>
      <c r="AX562" s="25"/>
      <c r="AY562" s="25"/>
      <c r="AZ562" s="25"/>
      <c r="BA562" s="25"/>
      <c r="BB562" s="25"/>
      <c r="BC562" s="25"/>
      <c r="BD562" s="25"/>
      <c r="BE562" s="25"/>
      <c r="BF562" s="25"/>
      <c r="BG562" s="25"/>
      <c r="BH562" s="25"/>
      <c r="BI562" s="25"/>
    </row>
    <row r="563" spans="2:61" x14ac:dyDescent="0.35"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  <c r="AO563" s="25"/>
      <c r="AP563" s="25"/>
      <c r="AQ563" s="25"/>
      <c r="AR563" s="25"/>
      <c r="AS563" s="25"/>
      <c r="AT563" s="25"/>
      <c r="AU563" s="25"/>
      <c r="AV563" s="25"/>
      <c r="AW563" s="25"/>
      <c r="AX563" s="25"/>
      <c r="AY563" s="25"/>
      <c r="AZ563" s="25"/>
      <c r="BA563" s="25"/>
      <c r="BB563" s="25"/>
      <c r="BC563" s="25"/>
      <c r="BD563" s="25"/>
      <c r="BE563" s="25"/>
      <c r="BF563" s="25"/>
      <c r="BG563" s="25"/>
      <c r="BH563" s="25"/>
      <c r="BI563" s="25"/>
    </row>
    <row r="564" spans="2:61" x14ac:dyDescent="0.35"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  <c r="AO564" s="25"/>
      <c r="AP564" s="25"/>
      <c r="AQ564" s="25"/>
      <c r="AR564" s="25"/>
      <c r="AS564" s="25"/>
      <c r="AT564" s="25"/>
      <c r="AU564" s="25"/>
      <c r="AV564" s="25"/>
      <c r="AW564" s="25"/>
      <c r="AX564" s="25"/>
      <c r="AY564" s="25"/>
      <c r="AZ564" s="25"/>
      <c r="BA564" s="25"/>
      <c r="BB564" s="25"/>
      <c r="BC564" s="25"/>
      <c r="BD564" s="25"/>
      <c r="BE564" s="25"/>
      <c r="BF564" s="25"/>
      <c r="BG564" s="25"/>
      <c r="BH564" s="25"/>
      <c r="BI564" s="25"/>
    </row>
    <row r="565" spans="2:61" x14ac:dyDescent="0.35"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  <c r="AO565" s="25"/>
      <c r="AP565" s="25"/>
      <c r="AQ565" s="25"/>
      <c r="AR565" s="25"/>
      <c r="AS565" s="25"/>
      <c r="AT565" s="25"/>
      <c r="AU565" s="25"/>
      <c r="AV565" s="25"/>
      <c r="AW565" s="25"/>
      <c r="AX565" s="25"/>
      <c r="AY565" s="25"/>
      <c r="AZ565" s="25"/>
      <c r="BA565" s="25"/>
      <c r="BB565" s="25"/>
      <c r="BC565" s="25"/>
      <c r="BD565" s="25"/>
      <c r="BE565" s="25"/>
      <c r="BF565" s="25"/>
      <c r="BG565" s="25"/>
      <c r="BH565" s="25"/>
      <c r="BI565" s="25"/>
    </row>
    <row r="566" spans="2:61" x14ac:dyDescent="0.35"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  <c r="AO566" s="25"/>
      <c r="AP566" s="25"/>
      <c r="AQ566" s="25"/>
      <c r="AR566" s="25"/>
      <c r="AS566" s="25"/>
      <c r="AT566" s="25"/>
      <c r="AU566" s="25"/>
      <c r="AV566" s="25"/>
      <c r="AW566" s="25"/>
      <c r="AX566" s="25"/>
      <c r="AY566" s="25"/>
      <c r="AZ566" s="25"/>
      <c r="BA566" s="25"/>
      <c r="BB566" s="25"/>
      <c r="BC566" s="25"/>
      <c r="BD566" s="25"/>
      <c r="BE566" s="25"/>
      <c r="BF566" s="25"/>
      <c r="BG566" s="25"/>
      <c r="BH566" s="25"/>
      <c r="BI566" s="25"/>
    </row>
    <row r="567" spans="2:61" x14ac:dyDescent="0.35"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  <c r="AO567" s="25"/>
      <c r="AP567" s="25"/>
      <c r="AQ567" s="25"/>
      <c r="AR567" s="25"/>
      <c r="AS567" s="25"/>
      <c r="AT567" s="25"/>
      <c r="AU567" s="25"/>
      <c r="AV567" s="25"/>
      <c r="AW567" s="25"/>
      <c r="AX567" s="25"/>
      <c r="AY567" s="25"/>
      <c r="AZ567" s="25"/>
      <c r="BA567" s="25"/>
      <c r="BB567" s="25"/>
      <c r="BC567" s="25"/>
      <c r="BD567" s="25"/>
      <c r="BE567" s="25"/>
      <c r="BF567" s="25"/>
      <c r="BG567" s="25"/>
      <c r="BH567" s="25"/>
      <c r="BI567" s="25"/>
    </row>
    <row r="568" spans="2:61" x14ac:dyDescent="0.35"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  <c r="AO568" s="25"/>
      <c r="AP568" s="25"/>
      <c r="AQ568" s="25"/>
      <c r="AR568" s="25"/>
      <c r="AS568" s="25"/>
      <c r="AT568" s="25"/>
      <c r="AU568" s="25"/>
      <c r="AV568" s="25"/>
      <c r="AW568" s="25"/>
      <c r="AX568" s="25"/>
      <c r="AY568" s="25"/>
      <c r="AZ568" s="25"/>
      <c r="BA568" s="25"/>
      <c r="BB568" s="25"/>
      <c r="BC568" s="25"/>
      <c r="BD568" s="25"/>
      <c r="BE568" s="25"/>
      <c r="BF568" s="25"/>
      <c r="BG568" s="25"/>
      <c r="BH568" s="25"/>
      <c r="BI568" s="25"/>
    </row>
    <row r="569" spans="2:61" x14ac:dyDescent="0.35"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  <c r="AO569" s="25"/>
      <c r="AP569" s="25"/>
      <c r="AQ569" s="25"/>
      <c r="AR569" s="25"/>
      <c r="AS569" s="25"/>
      <c r="AT569" s="25"/>
      <c r="AU569" s="25"/>
      <c r="AV569" s="25"/>
      <c r="AW569" s="25"/>
      <c r="AX569" s="25"/>
      <c r="AY569" s="25"/>
      <c r="AZ569" s="25"/>
      <c r="BA569" s="25"/>
      <c r="BB569" s="25"/>
      <c r="BC569" s="25"/>
      <c r="BD569" s="25"/>
      <c r="BE569" s="25"/>
      <c r="BF569" s="25"/>
      <c r="BG569" s="25"/>
      <c r="BH569" s="25"/>
      <c r="BI569" s="25"/>
    </row>
    <row r="570" spans="2:61" x14ac:dyDescent="0.35"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  <c r="AO570" s="25"/>
      <c r="AP570" s="25"/>
      <c r="AQ570" s="25"/>
      <c r="AR570" s="25"/>
      <c r="AS570" s="25"/>
      <c r="AT570" s="25"/>
      <c r="AU570" s="25"/>
      <c r="AV570" s="25"/>
      <c r="AW570" s="25"/>
      <c r="AX570" s="25"/>
      <c r="AY570" s="25"/>
      <c r="AZ570" s="25"/>
      <c r="BA570" s="25"/>
      <c r="BB570" s="25"/>
      <c r="BC570" s="25"/>
      <c r="BD570" s="25"/>
      <c r="BE570" s="25"/>
      <c r="BF570" s="25"/>
      <c r="BG570" s="25"/>
      <c r="BH570" s="25"/>
      <c r="BI570" s="25"/>
    </row>
    <row r="571" spans="2:61" x14ac:dyDescent="0.35"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  <c r="AO571" s="25"/>
      <c r="AP571" s="25"/>
      <c r="AQ571" s="25"/>
      <c r="AR571" s="25"/>
      <c r="AS571" s="25"/>
      <c r="AT571" s="25"/>
      <c r="AU571" s="25"/>
      <c r="AV571" s="25"/>
      <c r="AW571" s="25"/>
      <c r="AX571" s="25"/>
      <c r="AY571" s="25"/>
      <c r="AZ571" s="25"/>
      <c r="BA571" s="25"/>
      <c r="BB571" s="25"/>
      <c r="BC571" s="25"/>
      <c r="BD571" s="25"/>
      <c r="BE571" s="25"/>
      <c r="BF571" s="25"/>
      <c r="BG571" s="25"/>
      <c r="BH571" s="25"/>
      <c r="BI571" s="25"/>
    </row>
    <row r="572" spans="2:61" x14ac:dyDescent="0.35"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  <c r="AO572" s="25"/>
      <c r="AP572" s="25"/>
      <c r="AQ572" s="25"/>
      <c r="AR572" s="25"/>
      <c r="AS572" s="25"/>
      <c r="AT572" s="25"/>
      <c r="AU572" s="25"/>
      <c r="AV572" s="25"/>
      <c r="AW572" s="25"/>
      <c r="AX572" s="25"/>
      <c r="AY572" s="25"/>
      <c r="AZ572" s="25"/>
      <c r="BA572" s="25"/>
      <c r="BB572" s="25"/>
      <c r="BC572" s="25"/>
      <c r="BD572" s="25"/>
      <c r="BE572" s="25"/>
      <c r="BF572" s="25"/>
      <c r="BG572" s="25"/>
      <c r="BH572" s="25"/>
      <c r="BI572" s="25"/>
    </row>
    <row r="573" spans="2:61" x14ac:dyDescent="0.35"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  <c r="AO573" s="25"/>
      <c r="AP573" s="25"/>
      <c r="AQ573" s="25"/>
      <c r="AR573" s="25"/>
      <c r="AS573" s="25"/>
      <c r="AT573" s="25"/>
      <c r="AU573" s="25"/>
      <c r="AV573" s="25"/>
      <c r="AW573" s="25"/>
      <c r="AX573" s="25"/>
      <c r="AY573" s="25"/>
      <c r="AZ573" s="25"/>
      <c r="BA573" s="25"/>
      <c r="BB573" s="25"/>
      <c r="BC573" s="25"/>
      <c r="BD573" s="25"/>
      <c r="BE573" s="25"/>
      <c r="BF573" s="25"/>
      <c r="BG573" s="25"/>
      <c r="BH573" s="25"/>
      <c r="BI573" s="25"/>
    </row>
    <row r="574" spans="2:61" x14ac:dyDescent="0.35"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  <c r="AO574" s="25"/>
      <c r="AP574" s="25"/>
      <c r="AQ574" s="25"/>
      <c r="AR574" s="25"/>
      <c r="AS574" s="25"/>
      <c r="AT574" s="25"/>
      <c r="AU574" s="25"/>
      <c r="AV574" s="25"/>
      <c r="AW574" s="25"/>
      <c r="AX574" s="25"/>
      <c r="AY574" s="25"/>
      <c r="AZ574" s="25"/>
      <c r="BA574" s="25"/>
      <c r="BB574" s="25"/>
      <c r="BC574" s="25"/>
      <c r="BD574" s="25"/>
      <c r="BE574" s="25"/>
      <c r="BF574" s="25"/>
      <c r="BG574" s="25"/>
      <c r="BH574" s="25"/>
      <c r="BI574" s="25"/>
    </row>
    <row r="575" spans="2:61" x14ac:dyDescent="0.35"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  <c r="AO575" s="25"/>
      <c r="AP575" s="25"/>
      <c r="AQ575" s="25"/>
      <c r="AR575" s="25"/>
      <c r="AS575" s="25"/>
      <c r="AT575" s="25"/>
      <c r="AU575" s="25"/>
      <c r="AV575" s="25"/>
      <c r="AW575" s="25"/>
      <c r="AX575" s="25"/>
      <c r="AY575" s="25"/>
      <c r="AZ575" s="25"/>
      <c r="BA575" s="25"/>
      <c r="BB575" s="25"/>
      <c r="BC575" s="25"/>
      <c r="BD575" s="25"/>
      <c r="BE575" s="25"/>
      <c r="BF575" s="25"/>
      <c r="BG575" s="25"/>
      <c r="BH575" s="25"/>
      <c r="BI575" s="25"/>
    </row>
    <row r="576" spans="2:61" x14ac:dyDescent="0.35"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  <c r="AO576" s="25"/>
      <c r="AP576" s="25"/>
      <c r="AQ576" s="25"/>
      <c r="AR576" s="25"/>
      <c r="AS576" s="25"/>
      <c r="AT576" s="25"/>
      <c r="AU576" s="25"/>
      <c r="AV576" s="25"/>
      <c r="AW576" s="25"/>
      <c r="AX576" s="25"/>
      <c r="AY576" s="25"/>
      <c r="AZ576" s="25"/>
      <c r="BA576" s="25"/>
      <c r="BB576" s="25"/>
      <c r="BC576" s="25"/>
      <c r="BD576" s="25"/>
      <c r="BE576" s="25"/>
      <c r="BF576" s="25"/>
      <c r="BG576" s="25"/>
      <c r="BH576" s="25"/>
      <c r="BI576" s="25"/>
    </row>
    <row r="577" spans="2:61" x14ac:dyDescent="0.35"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  <c r="AO577" s="25"/>
      <c r="AP577" s="25"/>
      <c r="AQ577" s="25"/>
      <c r="AR577" s="25"/>
      <c r="AS577" s="25"/>
      <c r="AT577" s="25"/>
      <c r="AU577" s="25"/>
      <c r="AV577" s="25"/>
      <c r="AW577" s="25"/>
      <c r="AX577" s="25"/>
      <c r="AY577" s="25"/>
      <c r="AZ577" s="25"/>
      <c r="BA577" s="25"/>
      <c r="BB577" s="25"/>
      <c r="BC577" s="25"/>
      <c r="BD577" s="25"/>
      <c r="BE577" s="25"/>
      <c r="BF577" s="25"/>
      <c r="BG577" s="25"/>
      <c r="BH577" s="25"/>
      <c r="BI577" s="25"/>
    </row>
    <row r="578" spans="2:61" x14ac:dyDescent="0.35"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  <c r="AO578" s="25"/>
      <c r="AP578" s="25"/>
      <c r="AQ578" s="25"/>
      <c r="AR578" s="25"/>
      <c r="AS578" s="25"/>
      <c r="AT578" s="25"/>
      <c r="AU578" s="25"/>
      <c r="AV578" s="25"/>
      <c r="AW578" s="25"/>
      <c r="AX578" s="25"/>
      <c r="AY578" s="25"/>
      <c r="AZ578" s="25"/>
      <c r="BA578" s="25"/>
      <c r="BB578" s="25"/>
      <c r="BC578" s="25"/>
      <c r="BD578" s="25"/>
      <c r="BE578" s="25"/>
      <c r="BF578" s="25"/>
      <c r="BG578" s="25"/>
      <c r="BH578" s="25"/>
      <c r="BI578" s="25"/>
    </row>
    <row r="579" spans="2:61" x14ac:dyDescent="0.35"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  <c r="AO579" s="25"/>
      <c r="AP579" s="25"/>
      <c r="AQ579" s="25"/>
      <c r="AR579" s="25"/>
      <c r="AS579" s="25"/>
      <c r="AT579" s="25"/>
      <c r="AU579" s="25"/>
      <c r="AV579" s="25"/>
      <c r="AW579" s="25"/>
      <c r="AX579" s="25"/>
      <c r="AY579" s="25"/>
      <c r="AZ579" s="25"/>
      <c r="BA579" s="25"/>
      <c r="BB579" s="25"/>
      <c r="BC579" s="25"/>
      <c r="BD579" s="25"/>
      <c r="BE579" s="25"/>
      <c r="BF579" s="25"/>
      <c r="BG579" s="25"/>
      <c r="BH579" s="25"/>
      <c r="BI579" s="25"/>
    </row>
    <row r="580" spans="2:61" x14ac:dyDescent="0.35"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  <c r="AO580" s="25"/>
      <c r="AP580" s="25"/>
      <c r="AQ580" s="25"/>
      <c r="AR580" s="25"/>
      <c r="AS580" s="25"/>
      <c r="AT580" s="25"/>
      <c r="AU580" s="25"/>
      <c r="AV580" s="25"/>
      <c r="AW580" s="25"/>
      <c r="AX580" s="25"/>
      <c r="AY580" s="25"/>
      <c r="AZ580" s="25"/>
      <c r="BA580" s="25"/>
      <c r="BB580" s="25"/>
      <c r="BC580" s="25"/>
      <c r="BD580" s="25"/>
      <c r="BE580" s="25"/>
      <c r="BF580" s="25"/>
      <c r="BG580" s="25"/>
      <c r="BH580" s="25"/>
      <c r="BI580" s="25"/>
    </row>
    <row r="581" spans="2:61" x14ac:dyDescent="0.35"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  <c r="AO581" s="25"/>
      <c r="AP581" s="25"/>
      <c r="AQ581" s="25"/>
      <c r="AR581" s="25"/>
      <c r="AS581" s="25"/>
      <c r="AT581" s="25"/>
      <c r="AU581" s="25"/>
      <c r="AV581" s="25"/>
      <c r="AW581" s="25"/>
      <c r="AX581" s="25"/>
      <c r="AY581" s="25"/>
      <c r="AZ581" s="25"/>
      <c r="BA581" s="25"/>
      <c r="BB581" s="25"/>
      <c r="BC581" s="25"/>
      <c r="BD581" s="25"/>
      <c r="BE581" s="25"/>
      <c r="BF581" s="25"/>
      <c r="BG581" s="25"/>
      <c r="BH581" s="25"/>
      <c r="BI581" s="25"/>
    </row>
    <row r="582" spans="2:61" x14ac:dyDescent="0.35"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  <c r="AO582" s="25"/>
      <c r="AP582" s="25"/>
      <c r="AQ582" s="25"/>
      <c r="AR582" s="25"/>
      <c r="AS582" s="25"/>
      <c r="AT582" s="25"/>
      <c r="AU582" s="25"/>
      <c r="AV582" s="25"/>
      <c r="AW582" s="25"/>
      <c r="AX582" s="25"/>
      <c r="AY582" s="25"/>
      <c r="AZ582" s="25"/>
      <c r="BA582" s="25"/>
      <c r="BB582" s="25"/>
      <c r="BC582" s="25"/>
      <c r="BD582" s="25"/>
      <c r="BE582" s="25"/>
      <c r="BF582" s="25"/>
      <c r="BG582" s="25"/>
      <c r="BH582" s="25"/>
      <c r="BI582" s="25"/>
    </row>
    <row r="583" spans="2:61" x14ac:dyDescent="0.35"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  <c r="AO583" s="25"/>
      <c r="AP583" s="25"/>
      <c r="AQ583" s="25"/>
      <c r="AR583" s="25"/>
      <c r="AS583" s="25"/>
      <c r="AT583" s="25"/>
      <c r="AU583" s="25"/>
      <c r="AV583" s="25"/>
      <c r="AW583" s="25"/>
      <c r="AX583" s="25"/>
      <c r="AY583" s="25"/>
      <c r="AZ583" s="25"/>
      <c r="BA583" s="25"/>
      <c r="BB583" s="25"/>
      <c r="BC583" s="25"/>
      <c r="BD583" s="25"/>
      <c r="BE583" s="25"/>
      <c r="BF583" s="25"/>
      <c r="BG583" s="25"/>
      <c r="BH583" s="25"/>
      <c r="BI583" s="25"/>
    </row>
    <row r="584" spans="2:61" x14ac:dyDescent="0.35"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  <c r="AO584" s="25"/>
      <c r="AP584" s="25"/>
      <c r="AQ584" s="25"/>
      <c r="AR584" s="25"/>
      <c r="AS584" s="25"/>
      <c r="AT584" s="25"/>
      <c r="AU584" s="25"/>
      <c r="AV584" s="25"/>
      <c r="AW584" s="25"/>
      <c r="AX584" s="25"/>
      <c r="AY584" s="25"/>
      <c r="AZ584" s="25"/>
      <c r="BA584" s="25"/>
      <c r="BB584" s="25"/>
      <c r="BC584" s="25"/>
      <c r="BD584" s="25"/>
      <c r="BE584" s="25"/>
      <c r="BF584" s="25"/>
      <c r="BG584" s="25"/>
      <c r="BH584" s="25"/>
      <c r="BI584" s="25"/>
    </row>
    <row r="585" spans="2:61" x14ac:dyDescent="0.35"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  <c r="AO585" s="25"/>
      <c r="AP585" s="25"/>
      <c r="AQ585" s="25"/>
      <c r="AR585" s="25"/>
      <c r="AS585" s="25"/>
      <c r="AT585" s="25"/>
      <c r="AU585" s="25"/>
      <c r="AV585" s="25"/>
      <c r="AW585" s="25"/>
      <c r="AX585" s="25"/>
      <c r="AY585" s="25"/>
      <c r="AZ585" s="25"/>
      <c r="BA585" s="25"/>
      <c r="BB585" s="25"/>
      <c r="BC585" s="25"/>
      <c r="BD585" s="25"/>
      <c r="BE585" s="25"/>
      <c r="BF585" s="25"/>
      <c r="BG585" s="25"/>
      <c r="BH585" s="25"/>
      <c r="BI585" s="25"/>
    </row>
    <row r="586" spans="2:61" x14ac:dyDescent="0.35"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  <c r="AO586" s="25"/>
      <c r="AP586" s="25"/>
      <c r="AQ586" s="25"/>
      <c r="AR586" s="25"/>
      <c r="AS586" s="25"/>
      <c r="AT586" s="25"/>
      <c r="AU586" s="25"/>
      <c r="AV586" s="25"/>
      <c r="AW586" s="25"/>
      <c r="AX586" s="25"/>
      <c r="AY586" s="25"/>
      <c r="AZ586" s="25"/>
      <c r="BA586" s="25"/>
      <c r="BB586" s="25"/>
      <c r="BC586" s="25"/>
      <c r="BD586" s="25"/>
      <c r="BE586" s="25"/>
      <c r="BF586" s="25"/>
      <c r="BG586" s="25"/>
      <c r="BH586" s="25"/>
      <c r="BI586" s="25"/>
    </row>
    <row r="587" spans="2:61" x14ac:dyDescent="0.35"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  <c r="AO587" s="25"/>
      <c r="AP587" s="25"/>
      <c r="AQ587" s="25"/>
      <c r="AR587" s="25"/>
      <c r="AS587" s="25"/>
      <c r="AT587" s="25"/>
      <c r="AU587" s="25"/>
      <c r="AV587" s="25"/>
      <c r="AW587" s="25"/>
      <c r="AX587" s="25"/>
      <c r="AY587" s="25"/>
      <c r="AZ587" s="25"/>
      <c r="BA587" s="25"/>
      <c r="BB587" s="25"/>
      <c r="BC587" s="25"/>
      <c r="BD587" s="25"/>
      <c r="BE587" s="25"/>
      <c r="BF587" s="25"/>
      <c r="BG587" s="25"/>
      <c r="BH587" s="25"/>
      <c r="BI587" s="25"/>
    </row>
    <row r="588" spans="2:61" x14ac:dyDescent="0.35"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  <c r="AO588" s="25"/>
      <c r="AP588" s="25"/>
      <c r="AQ588" s="25"/>
      <c r="AR588" s="25"/>
      <c r="AS588" s="25"/>
      <c r="AT588" s="25"/>
      <c r="AU588" s="25"/>
      <c r="AV588" s="25"/>
      <c r="AW588" s="25"/>
      <c r="AX588" s="25"/>
      <c r="AY588" s="25"/>
      <c r="AZ588" s="25"/>
      <c r="BA588" s="25"/>
      <c r="BB588" s="25"/>
      <c r="BC588" s="25"/>
      <c r="BD588" s="25"/>
      <c r="BE588" s="25"/>
      <c r="BF588" s="25"/>
      <c r="BG588" s="25"/>
      <c r="BH588" s="25"/>
      <c r="BI588" s="25"/>
    </row>
    <row r="589" spans="2:61" x14ac:dyDescent="0.35"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  <c r="AO589" s="25"/>
      <c r="AP589" s="25"/>
      <c r="AQ589" s="25"/>
      <c r="AR589" s="25"/>
      <c r="AS589" s="25"/>
      <c r="AT589" s="25"/>
      <c r="AU589" s="25"/>
      <c r="AV589" s="25"/>
      <c r="AW589" s="25"/>
      <c r="AX589" s="25"/>
      <c r="AY589" s="25"/>
      <c r="AZ589" s="25"/>
      <c r="BA589" s="25"/>
      <c r="BB589" s="25"/>
      <c r="BC589" s="25"/>
      <c r="BD589" s="25"/>
      <c r="BE589" s="25"/>
      <c r="BF589" s="25"/>
      <c r="BG589" s="25"/>
      <c r="BH589" s="25"/>
      <c r="BI589" s="25"/>
    </row>
    <row r="590" spans="2:61" x14ac:dyDescent="0.35"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  <c r="AO590" s="25"/>
      <c r="AP590" s="25"/>
      <c r="AQ590" s="25"/>
      <c r="AR590" s="25"/>
      <c r="AS590" s="25"/>
      <c r="AT590" s="25"/>
      <c r="AU590" s="25"/>
      <c r="AV590" s="25"/>
      <c r="AW590" s="25"/>
      <c r="AX590" s="25"/>
      <c r="AY590" s="25"/>
      <c r="AZ590" s="25"/>
      <c r="BA590" s="25"/>
      <c r="BB590" s="25"/>
      <c r="BC590" s="25"/>
      <c r="BD590" s="25"/>
      <c r="BE590" s="25"/>
      <c r="BF590" s="25"/>
      <c r="BG590" s="25"/>
      <c r="BH590" s="25"/>
      <c r="BI590" s="25"/>
    </row>
    <row r="591" spans="2:61" x14ac:dyDescent="0.35"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  <c r="AO591" s="25"/>
      <c r="AP591" s="25"/>
      <c r="AQ591" s="25"/>
      <c r="AR591" s="25"/>
      <c r="AS591" s="25"/>
      <c r="AT591" s="25"/>
      <c r="AU591" s="25"/>
      <c r="AV591" s="25"/>
      <c r="AW591" s="25"/>
      <c r="AX591" s="25"/>
      <c r="AY591" s="25"/>
      <c r="AZ591" s="25"/>
      <c r="BA591" s="25"/>
      <c r="BB591" s="25"/>
      <c r="BC591" s="25"/>
      <c r="BD591" s="25"/>
      <c r="BE591" s="25"/>
      <c r="BF591" s="25"/>
      <c r="BG591" s="25"/>
      <c r="BH591" s="25"/>
      <c r="BI591" s="25"/>
    </row>
    <row r="592" spans="2:61" x14ac:dyDescent="0.35"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  <c r="AO592" s="25"/>
      <c r="AP592" s="25"/>
      <c r="AQ592" s="25"/>
      <c r="AR592" s="25"/>
      <c r="AS592" s="25"/>
      <c r="AT592" s="25"/>
      <c r="AU592" s="25"/>
      <c r="AV592" s="25"/>
      <c r="AW592" s="25"/>
      <c r="AX592" s="25"/>
      <c r="AY592" s="25"/>
      <c r="AZ592" s="25"/>
      <c r="BA592" s="25"/>
      <c r="BB592" s="25"/>
      <c r="BC592" s="25"/>
      <c r="BD592" s="25"/>
      <c r="BE592" s="25"/>
      <c r="BF592" s="25"/>
      <c r="BG592" s="25"/>
      <c r="BH592" s="25"/>
      <c r="BI592" s="25"/>
    </row>
    <row r="593" spans="2:61" x14ac:dyDescent="0.35"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  <c r="AO593" s="25"/>
      <c r="AP593" s="25"/>
      <c r="AQ593" s="25"/>
      <c r="AR593" s="25"/>
      <c r="AS593" s="25"/>
      <c r="AT593" s="25"/>
      <c r="AU593" s="25"/>
      <c r="AV593" s="25"/>
      <c r="AW593" s="25"/>
      <c r="AX593" s="25"/>
      <c r="AY593" s="25"/>
      <c r="AZ593" s="25"/>
      <c r="BA593" s="25"/>
      <c r="BB593" s="25"/>
      <c r="BC593" s="25"/>
      <c r="BD593" s="25"/>
      <c r="BE593" s="25"/>
      <c r="BF593" s="25"/>
      <c r="BG593" s="25"/>
      <c r="BH593" s="25"/>
      <c r="BI593" s="25"/>
    </row>
    <row r="594" spans="2:61" x14ac:dyDescent="0.35"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  <c r="AO594" s="25"/>
      <c r="AP594" s="25"/>
      <c r="AQ594" s="25"/>
      <c r="AR594" s="25"/>
      <c r="AS594" s="25"/>
      <c r="AT594" s="25"/>
      <c r="AU594" s="25"/>
      <c r="AV594" s="25"/>
      <c r="AW594" s="25"/>
      <c r="AX594" s="25"/>
      <c r="AY594" s="25"/>
      <c r="AZ594" s="25"/>
      <c r="BA594" s="25"/>
      <c r="BB594" s="25"/>
      <c r="BC594" s="25"/>
      <c r="BD594" s="25"/>
      <c r="BE594" s="25"/>
      <c r="BF594" s="25"/>
      <c r="BG594" s="25"/>
      <c r="BH594" s="25"/>
      <c r="BI594" s="25"/>
    </row>
    <row r="595" spans="2:61" x14ac:dyDescent="0.35"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  <c r="AO595" s="25"/>
      <c r="AP595" s="25"/>
      <c r="AQ595" s="25"/>
      <c r="AR595" s="25"/>
      <c r="AS595" s="25"/>
      <c r="AT595" s="25"/>
      <c r="AU595" s="25"/>
      <c r="AV595" s="25"/>
      <c r="AW595" s="25"/>
      <c r="AX595" s="25"/>
      <c r="AY595" s="25"/>
      <c r="AZ595" s="25"/>
      <c r="BA595" s="25"/>
      <c r="BB595" s="25"/>
      <c r="BC595" s="25"/>
      <c r="BD595" s="25"/>
      <c r="BE595" s="25"/>
      <c r="BF595" s="25"/>
      <c r="BG595" s="25"/>
      <c r="BH595" s="25"/>
      <c r="BI595" s="25"/>
    </row>
    <row r="596" spans="2:61" x14ac:dyDescent="0.35"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  <c r="AO596" s="25"/>
      <c r="AP596" s="25"/>
      <c r="AQ596" s="25"/>
      <c r="AR596" s="25"/>
      <c r="AS596" s="25"/>
      <c r="AT596" s="25"/>
      <c r="AU596" s="25"/>
      <c r="AV596" s="25"/>
      <c r="AW596" s="25"/>
      <c r="AX596" s="25"/>
      <c r="AY596" s="25"/>
      <c r="AZ596" s="25"/>
      <c r="BA596" s="25"/>
      <c r="BB596" s="25"/>
      <c r="BC596" s="25"/>
      <c r="BD596" s="25"/>
      <c r="BE596" s="25"/>
      <c r="BF596" s="25"/>
      <c r="BG596" s="25"/>
      <c r="BH596" s="25"/>
      <c r="BI596" s="25"/>
    </row>
    <row r="597" spans="2:61" x14ac:dyDescent="0.35"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  <c r="AO597" s="25"/>
      <c r="AP597" s="25"/>
      <c r="AQ597" s="25"/>
      <c r="AR597" s="25"/>
      <c r="AS597" s="25"/>
      <c r="AT597" s="25"/>
      <c r="AU597" s="25"/>
      <c r="AV597" s="25"/>
      <c r="AW597" s="25"/>
      <c r="AX597" s="25"/>
      <c r="AY597" s="25"/>
      <c r="AZ597" s="25"/>
      <c r="BA597" s="25"/>
      <c r="BB597" s="25"/>
      <c r="BC597" s="25"/>
      <c r="BD597" s="25"/>
      <c r="BE597" s="25"/>
      <c r="BF597" s="25"/>
      <c r="BG597" s="25"/>
      <c r="BH597" s="25"/>
      <c r="BI597" s="25"/>
    </row>
    <row r="598" spans="2:61" x14ac:dyDescent="0.35"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  <c r="AO598" s="25"/>
      <c r="AP598" s="25"/>
      <c r="AQ598" s="25"/>
      <c r="AR598" s="25"/>
      <c r="AS598" s="25"/>
      <c r="AT598" s="25"/>
      <c r="AU598" s="25"/>
      <c r="AV598" s="25"/>
      <c r="AW598" s="25"/>
      <c r="AX598" s="25"/>
      <c r="AY598" s="25"/>
      <c r="AZ598" s="25"/>
      <c r="BA598" s="25"/>
      <c r="BB598" s="25"/>
      <c r="BC598" s="25"/>
      <c r="BD598" s="25"/>
      <c r="BE598" s="25"/>
      <c r="BF598" s="25"/>
      <c r="BG598" s="25"/>
      <c r="BH598" s="25"/>
      <c r="BI598" s="25"/>
    </row>
    <row r="599" spans="2:61" x14ac:dyDescent="0.35"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  <c r="AO599" s="25"/>
      <c r="AP599" s="25"/>
      <c r="AQ599" s="25"/>
      <c r="AR599" s="25"/>
      <c r="AS599" s="25"/>
      <c r="AT599" s="25"/>
      <c r="AU599" s="25"/>
      <c r="AV599" s="25"/>
      <c r="AW599" s="25"/>
      <c r="AX599" s="25"/>
      <c r="AY599" s="25"/>
      <c r="AZ599" s="25"/>
      <c r="BA599" s="25"/>
      <c r="BB599" s="25"/>
      <c r="BC599" s="25"/>
      <c r="BD599" s="25"/>
      <c r="BE599" s="25"/>
      <c r="BF599" s="25"/>
      <c r="BG599" s="25"/>
      <c r="BH599" s="25"/>
      <c r="BI599" s="25"/>
    </row>
    <row r="600" spans="2:61" x14ac:dyDescent="0.35"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  <c r="AO600" s="25"/>
      <c r="AP600" s="25"/>
      <c r="AQ600" s="25"/>
      <c r="AR600" s="25"/>
      <c r="AS600" s="25"/>
      <c r="AT600" s="25"/>
      <c r="AU600" s="25"/>
      <c r="AV600" s="25"/>
      <c r="AW600" s="25"/>
      <c r="AX600" s="25"/>
      <c r="AY600" s="25"/>
      <c r="AZ600" s="25"/>
      <c r="BA600" s="25"/>
      <c r="BB600" s="25"/>
      <c r="BC600" s="25"/>
      <c r="BD600" s="25"/>
      <c r="BE600" s="25"/>
      <c r="BF600" s="25"/>
      <c r="BG600" s="25"/>
      <c r="BH600" s="25"/>
      <c r="BI600" s="25"/>
    </row>
    <row r="601" spans="2:61" x14ac:dyDescent="0.35"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  <c r="AO601" s="25"/>
      <c r="AP601" s="25"/>
      <c r="AQ601" s="25"/>
      <c r="AR601" s="25"/>
      <c r="AS601" s="25"/>
      <c r="AT601" s="25"/>
      <c r="AU601" s="25"/>
      <c r="AV601" s="25"/>
      <c r="AW601" s="25"/>
      <c r="AX601" s="25"/>
      <c r="AY601" s="25"/>
      <c r="AZ601" s="25"/>
      <c r="BA601" s="25"/>
      <c r="BB601" s="25"/>
      <c r="BC601" s="25"/>
      <c r="BD601" s="25"/>
      <c r="BE601" s="25"/>
      <c r="BF601" s="25"/>
      <c r="BG601" s="25"/>
      <c r="BH601" s="25"/>
      <c r="BI601" s="25"/>
    </row>
    <row r="602" spans="2:61" x14ac:dyDescent="0.35"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  <c r="AO602" s="25"/>
      <c r="AP602" s="25"/>
      <c r="AQ602" s="25"/>
      <c r="AR602" s="25"/>
      <c r="AS602" s="25"/>
      <c r="AT602" s="25"/>
      <c r="AU602" s="25"/>
      <c r="AV602" s="25"/>
      <c r="AW602" s="25"/>
      <c r="AX602" s="25"/>
      <c r="AY602" s="25"/>
      <c r="AZ602" s="25"/>
      <c r="BA602" s="25"/>
      <c r="BB602" s="25"/>
      <c r="BC602" s="25"/>
      <c r="BD602" s="25"/>
      <c r="BE602" s="25"/>
      <c r="BF602" s="25"/>
      <c r="BG602" s="25"/>
      <c r="BH602" s="25"/>
      <c r="BI602" s="25"/>
    </row>
    <row r="603" spans="2:61" x14ac:dyDescent="0.35"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  <c r="AO603" s="25"/>
      <c r="AP603" s="25"/>
      <c r="AQ603" s="25"/>
      <c r="AR603" s="25"/>
      <c r="AS603" s="25"/>
      <c r="AT603" s="25"/>
      <c r="AU603" s="25"/>
      <c r="AV603" s="25"/>
      <c r="AW603" s="25"/>
      <c r="AX603" s="25"/>
      <c r="AY603" s="25"/>
      <c r="AZ603" s="25"/>
      <c r="BA603" s="25"/>
      <c r="BB603" s="25"/>
      <c r="BC603" s="25"/>
      <c r="BD603" s="25"/>
      <c r="BE603" s="25"/>
      <c r="BF603" s="25"/>
      <c r="BG603" s="25"/>
      <c r="BH603" s="25"/>
      <c r="BI603" s="25"/>
    </row>
    <row r="604" spans="2:61" x14ac:dyDescent="0.35"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  <c r="AO604" s="25"/>
      <c r="AP604" s="25"/>
      <c r="AQ604" s="25"/>
      <c r="AR604" s="25"/>
      <c r="AS604" s="25"/>
      <c r="AT604" s="25"/>
      <c r="AU604" s="25"/>
      <c r="AV604" s="25"/>
      <c r="AW604" s="25"/>
      <c r="AX604" s="25"/>
      <c r="AY604" s="25"/>
      <c r="AZ604" s="25"/>
      <c r="BA604" s="25"/>
      <c r="BB604" s="25"/>
      <c r="BC604" s="25"/>
      <c r="BD604" s="25"/>
      <c r="BE604" s="25"/>
      <c r="BF604" s="25"/>
      <c r="BG604" s="25"/>
      <c r="BH604" s="25"/>
      <c r="BI604" s="25"/>
    </row>
    <row r="605" spans="2:61" x14ac:dyDescent="0.35"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  <c r="AO605" s="25"/>
      <c r="AP605" s="25"/>
      <c r="AQ605" s="25"/>
      <c r="AR605" s="25"/>
      <c r="AS605" s="25"/>
      <c r="AT605" s="25"/>
      <c r="AU605" s="25"/>
      <c r="AV605" s="25"/>
      <c r="AW605" s="25"/>
      <c r="AX605" s="25"/>
      <c r="AY605" s="25"/>
      <c r="AZ605" s="25"/>
      <c r="BA605" s="25"/>
      <c r="BB605" s="25"/>
      <c r="BC605" s="25"/>
      <c r="BD605" s="25"/>
      <c r="BE605" s="25"/>
      <c r="BF605" s="25"/>
      <c r="BG605" s="25"/>
      <c r="BH605" s="25"/>
      <c r="BI605" s="25"/>
    </row>
    <row r="606" spans="2:61" x14ac:dyDescent="0.35"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  <c r="AO606" s="25"/>
      <c r="AP606" s="25"/>
      <c r="AQ606" s="25"/>
      <c r="AR606" s="25"/>
      <c r="AS606" s="25"/>
      <c r="AT606" s="25"/>
      <c r="AU606" s="25"/>
      <c r="AV606" s="25"/>
      <c r="AW606" s="25"/>
      <c r="AX606" s="25"/>
      <c r="AY606" s="25"/>
      <c r="AZ606" s="25"/>
      <c r="BA606" s="25"/>
      <c r="BB606" s="25"/>
      <c r="BC606" s="25"/>
      <c r="BD606" s="25"/>
      <c r="BE606" s="25"/>
      <c r="BF606" s="25"/>
      <c r="BG606" s="25"/>
      <c r="BH606" s="25"/>
      <c r="BI606" s="25"/>
    </row>
    <row r="607" spans="2:61" x14ac:dyDescent="0.35"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  <c r="AO607" s="25"/>
      <c r="AP607" s="25"/>
      <c r="AQ607" s="25"/>
      <c r="AR607" s="25"/>
      <c r="AS607" s="25"/>
      <c r="AT607" s="25"/>
      <c r="AU607" s="25"/>
      <c r="AV607" s="25"/>
      <c r="AW607" s="25"/>
      <c r="AX607" s="25"/>
      <c r="AY607" s="25"/>
      <c r="AZ607" s="25"/>
      <c r="BA607" s="25"/>
      <c r="BB607" s="25"/>
      <c r="BC607" s="25"/>
      <c r="BD607" s="25"/>
      <c r="BE607" s="25"/>
      <c r="BF607" s="25"/>
      <c r="BG607" s="25"/>
      <c r="BH607" s="25"/>
      <c r="BI607" s="25"/>
    </row>
    <row r="608" spans="2:61" x14ac:dyDescent="0.35"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  <c r="AO608" s="25"/>
      <c r="AP608" s="25"/>
      <c r="AQ608" s="25"/>
      <c r="AR608" s="25"/>
      <c r="AS608" s="25"/>
      <c r="AT608" s="25"/>
      <c r="AU608" s="25"/>
      <c r="AV608" s="25"/>
      <c r="AW608" s="25"/>
      <c r="AX608" s="25"/>
      <c r="AY608" s="25"/>
      <c r="AZ608" s="25"/>
      <c r="BA608" s="25"/>
      <c r="BB608" s="25"/>
      <c r="BC608" s="25"/>
      <c r="BD608" s="25"/>
      <c r="BE608" s="25"/>
      <c r="BF608" s="25"/>
      <c r="BG608" s="25"/>
      <c r="BH608" s="25"/>
      <c r="BI608" s="25"/>
    </row>
    <row r="609" spans="2:61" x14ac:dyDescent="0.35"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  <c r="AO609" s="25"/>
      <c r="AP609" s="25"/>
      <c r="AQ609" s="25"/>
      <c r="AR609" s="25"/>
      <c r="AS609" s="25"/>
      <c r="AT609" s="25"/>
      <c r="AU609" s="25"/>
      <c r="AV609" s="25"/>
      <c r="AW609" s="25"/>
      <c r="AX609" s="25"/>
      <c r="AY609" s="25"/>
      <c r="AZ609" s="25"/>
      <c r="BA609" s="25"/>
      <c r="BB609" s="25"/>
      <c r="BC609" s="25"/>
      <c r="BD609" s="25"/>
      <c r="BE609" s="25"/>
      <c r="BF609" s="25"/>
      <c r="BG609" s="25"/>
      <c r="BH609" s="25"/>
      <c r="BI609" s="25"/>
    </row>
    <row r="610" spans="2:61" x14ac:dyDescent="0.35"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  <c r="AO610" s="25"/>
      <c r="AP610" s="25"/>
      <c r="AQ610" s="25"/>
      <c r="AR610" s="25"/>
      <c r="AS610" s="25"/>
      <c r="AT610" s="25"/>
      <c r="AU610" s="25"/>
      <c r="AV610" s="25"/>
      <c r="AW610" s="25"/>
      <c r="AX610" s="25"/>
      <c r="AY610" s="25"/>
      <c r="AZ610" s="25"/>
      <c r="BA610" s="25"/>
      <c r="BB610" s="25"/>
      <c r="BC610" s="25"/>
      <c r="BD610" s="25"/>
      <c r="BE610" s="25"/>
      <c r="BF610" s="25"/>
      <c r="BG610" s="25"/>
      <c r="BH610" s="25"/>
      <c r="BI610" s="25"/>
    </row>
    <row r="611" spans="2:61" x14ac:dyDescent="0.35"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  <c r="AO611" s="25"/>
      <c r="AP611" s="25"/>
      <c r="AQ611" s="25"/>
      <c r="AR611" s="25"/>
      <c r="AS611" s="25"/>
      <c r="AT611" s="25"/>
      <c r="AU611" s="25"/>
      <c r="AV611" s="25"/>
      <c r="AW611" s="25"/>
      <c r="AX611" s="25"/>
      <c r="AY611" s="25"/>
      <c r="AZ611" s="25"/>
      <c r="BA611" s="25"/>
      <c r="BB611" s="25"/>
      <c r="BC611" s="25"/>
      <c r="BD611" s="25"/>
      <c r="BE611" s="25"/>
      <c r="BF611" s="25"/>
      <c r="BG611" s="25"/>
      <c r="BH611" s="25"/>
      <c r="BI611" s="25"/>
    </row>
    <row r="612" spans="2:61" x14ac:dyDescent="0.35"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  <c r="AO612" s="25"/>
      <c r="AP612" s="25"/>
      <c r="AQ612" s="25"/>
      <c r="AR612" s="25"/>
      <c r="AS612" s="25"/>
      <c r="AT612" s="25"/>
      <c r="AU612" s="25"/>
      <c r="AV612" s="25"/>
      <c r="AW612" s="25"/>
      <c r="AX612" s="25"/>
      <c r="AY612" s="25"/>
      <c r="AZ612" s="25"/>
      <c r="BA612" s="25"/>
      <c r="BB612" s="25"/>
      <c r="BC612" s="25"/>
      <c r="BD612" s="25"/>
      <c r="BE612" s="25"/>
      <c r="BF612" s="25"/>
      <c r="BG612" s="25"/>
      <c r="BH612" s="25"/>
      <c r="BI612" s="25"/>
    </row>
    <row r="613" spans="2:61" x14ac:dyDescent="0.35"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  <c r="AO613" s="25"/>
      <c r="AP613" s="25"/>
      <c r="AQ613" s="25"/>
      <c r="AR613" s="25"/>
      <c r="AS613" s="25"/>
      <c r="AT613" s="25"/>
      <c r="AU613" s="25"/>
      <c r="AV613" s="25"/>
      <c r="AW613" s="25"/>
      <c r="AX613" s="25"/>
      <c r="AY613" s="25"/>
      <c r="AZ613" s="25"/>
      <c r="BA613" s="25"/>
      <c r="BB613" s="25"/>
      <c r="BC613" s="25"/>
      <c r="BD613" s="25"/>
      <c r="BE613" s="25"/>
      <c r="BF613" s="25"/>
      <c r="BG613" s="25"/>
      <c r="BH613" s="25"/>
      <c r="BI613" s="25"/>
    </row>
    <row r="614" spans="2:61" x14ac:dyDescent="0.35"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  <c r="AO614" s="25"/>
      <c r="AP614" s="25"/>
      <c r="AQ614" s="25"/>
      <c r="AR614" s="25"/>
      <c r="AS614" s="25"/>
      <c r="AT614" s="25"/>
      <c r="AU614" s="25"/>
      <c r="AV614" s="25"/>
      <c r="AW614" s="25"/>
      <c r="AX614" s="25"/>
      <c r="AY614" s="25"/>
      <c r="AZ614" s="25"/>
      <c r="BA614" s="25"/>
      <c r="BB614" s="25"/>
      <c r="BC614" s="25"/>
      <c r="BD614" s="25"/>
      <c r="BE614" s="25"/>
      <c r="BF614" s="25"/>
      <c r="BG614" s="25"/>
      <c r="BH614" s="25"/>
      <c r="BI614" s="25"/>
    </row>
    <row r="615" spans="2:61" x14ac:dyDescent="0.35"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  <c r="AO615" s="25"/>
      <c r="AP615" s="25"/>
      <c r="AQ615" s="25"/>
      <c r="AR615" s="25"/>
      <c r="AS615" s="25"/>
      <c r="AT615" s="25"/>
      <c r="AU615" s="25"/>
      <c r="AV615" s="25"/>
      <c r="AW615" s="25"/>
      <c r="AX615" s="25"/>
      <c r="AY615" s="25"/>
      <c r="AZ615" s="25"/>
      <c r="BA615" s="25"/>
      <c r="BB615" s="25"/>
      <c r="BC615" s="25"/>
      <c r="BD615" s="25"/>
      <c r="BE615" s="25"/>
      <c r="BF615" s="25"/>
      <c r="BG615" s="25"/>
      <c r="BH615" s="25"/>
      <c r="BI615" s="25"/>
    </row>
    <row r="616" spans="2:61" x14ac:dyDescent="0.35"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  <c r="AO616" s="25"/>
      <c r="AP616" s="25"/>
      <c r="AQ616" s="25"/>
      <c r="AR616" s="25"/>
      <c r="AS616" s="25"/>
      <c r="AT616" s="25"/>
      <c r="AU616" s="25"/>
      <c r="AV616" s="25"/>
      <c r="AW616" s="25"/>
      <c r="AX616" s="25"/>
      <c r="AY616" s="25"/>
      <c r="AZ616" s="25"/>
      <c r="BA616" s="25"/>
      <c r="BB616" s="25"/>
      <c r="BC616" s="25"/>
      <c r="BD616" s="25"/>
      <c r="BE616" s="25"/>
      <c r="BF616" s="25"/>
      <c r="BG616" s="25"/>
      <c r="BH616" s="25"/>
      <c r="BI616" s="25"/>
    </row>
    <row r="617" spans="2:61" x14ac:dyDescent="0.35"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  <c r="AO617" s="25"/>
      <c r="AP617" s="25"/>
      <c r="AQ617" s="25"/>
      <c r="AR617" s="25"/>
      <c r="AS617" s="25"/>
      <c r="AT617" s="25"/>
      <c r="AU617" s="25"/>
      <c r="AV617" s="25"/>
      <c r="AW617" s="25"/>
      <c r="AX617" s="25"/>
      <c r="AY617" s="25"/>
      <c r="AZ617" s="25"/>
      <c r="BA617" s="25"/>
      <c r="BB617" s="25"/>
      <c r="BC617" s="25"/>
      <c r="BD617" s="25"/>
      <c r="BE617" s="25"/>
      <c r="BF617" s="25"/>
      <c r="BG617" s="25"/>
      <c r="BH617" s="25"/>
      <c r="BI617" s="25"/>
    </row>
    <row r="618" spans="2:61" x14ac:dyDescent="0.35"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  <c r="AO618" s="25"/>
      <c r="AP618" s="25"/>
      <c r="AQ618" s="25"/>
      <c r="AR618" s="25"/>
      <c r="AS618" s="25"/>
      <c r="AT618" s="25"/>
      <c r="AU618" s="25"/>
      <c r="AV618" s="25"/>
      <c r="AW618" s="25"/>
      <c r="AX618" s="25"/>
      <c r="AY618" s="25"/>
      <c r="AZ618" s="25"/>
      <c r="BA618" s="25"/>
      <c r="BB618" s="25"/>
      <c r="BC618" s="25"/>
      <c r="BD618" s="25"/>
      <c r="BE618" s="25"/>
      <c r="BF618" s="25"/>
      <c r="BG618" s="25"/>
      <c r="BH618" s="25"/>
      <c r="BI618" s="25"/>
    </row>
    <row r="619" spans="2:61" x14ac:dyDescent="0.35"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  <c r="AO619" s="25"/>
      <c r="AP619" s="25"/>
      <c r="AQ619" s="25"/>
      <c r="AR619" s="25"/>
      <c r="AS619" s="25"/>
      <c r="AT619" s="25"/>
      <c r="AU619" s="25"/>
      <c r="AV619" s="25"/>
      <c r="AW619" s="25"/>
      <c r="AX619" s="25"/>
      <c r="AY619" s="25"/>
      <c r="AZ619" s="25"/>
      <c r="BA619" s="25"/>
      <c r="BB619" s="25"/>
      <c r="BC619" s="25"/>
      <c r="BD619" s="25"/>
      <c r="BE619" s="25"/>
      <c r="BF619" s="25"/>
      <c r="BG619" s="25"/>
      <c r="BH619" s="25"/>
      <c r="BI619" s="25"/>
    </row>
    <row r="620" spans="2:61" x14ac:dyDescent="0.35"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  <c r="AO620" s="25"/>
      <c r="AP620" s="25"/>
      <c r="AQ620" s="25"/>
      <c r="AR620" s="25"/>
      <c r="AS620" s="25"/>
      <c r="AT620" s="25"/>
      <c r="AU620" s="25"/>
      <c r="AV620" s="25"/>
      <c r="AW620" s="25"/>
      <c r="AX620" s="25"/>
      <c r="AY620" s="25"/>
      <c r="AZ620" s="25"/>
      <c r="BA620" s="25"/>
      <c r="BB620" s="25"/>
      <c r="BC620" s="25"/>
      <c r="BD620" s="25"/>
      <c r="BE620" s="25"/>
      <c r="BF620" s="25"/>
      <c r="BG620" s="25"/>
      <c r="BH620" s="25"/>
      <c r="BI620" s="25"/>
    </row>
    <row r="621" spans="2:61" x14ac:dyDescent="0.35"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  <c r="AO621" s="25"/>
      <c r="AP621" s="25"/>
      <c r="AQ621" s="25"/>
      <c r="AR621" s="25"/>
      <c r="AS621" s="25"/>
      <c r="AT621" s="25"/>
      <c r="AU621" s="25"/>
      <c r="AV621" s="25"/>
      <c r="AW621" s="25"/>
      <c r="AX621" s="25"/>
      <c r="AY621" s="25"/>
      <c r="AZ621" s="25"/>
      <c r="BA621" s="25"/>
      <c r="BB621" s="25"/>
      <c r="BC621" s="25"/>
      <c r="BD621" s="25"/>
      <c r="BE621" s="25"/>
      <c r="BF621" s="25"/>
      <c r="BG621" s="25"/>
      <c r="BH621" s="25"/>
      <c r="BI621" s="25"/>
    </row>
    <row r="622" spans="2:61" x14ac:dyDescent="0.35"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  <c r="AO622" s="25"/>
      <c r="AP622" s="25"/>
      <c r="AQ622" s="25"/>
      <c r="AR622" s="25"/>
      <c r="AS622" s="25"/>
      <c r="AT622" s="25"/>
      <c r="AU622" s="25"/>
      <c r="AV622" s="25"/>
      <c r="AW622" s="25"/>
      <c r="AX622" s="25"/>
      <c r="AY622" s="25"/>
      <c r="AZ622" s="25"/>
      <c r="BA622" s="25"/>
      <c r="BB622" s="25"/>
      <c r="BC622" s="25"/>
      <c r="BD622" s="25"/>
      <c r="BE622" s="25"/>
      <c r="BF622" s="25"/>
      <c r="BG622" s="25"/>
      <c r="BH622" s="25"/>
      <c r="BI622" s="25"/>
    </row>
    <row r="623" spans="2:61" x14ac:dyDescent="0.35"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  <c r="AO623" s="25"/>
      <c r="AP623" s="25"/>
      <c r="AQ623" s="25"/>
      <c r="AR623" s="25"/>
      <c r="AS623" s="25"/>
      <c r="AT623" s="25"/>
      <c r="AU623" s="25"/>
      <c r="AV623" s="25"/>
      <c r="AW623" s="25"/>
      <c r="AX623" s="25"/>
      <c r="AY623" s="25"/>
      <c r="AZ623" s="25"/>
      <c r="BA623" s="25"/>
      <c r="BB623" s="25"/>
      <c r="BC623" s="25"/>
      <c r="BD623" s="25"/>
      <c r="BE623" s="25"/>
      <c r="BF623" s="25"/>
      <c r="BG623" s="25"/>
      <c r="BH623" s="25"/>
      <c r="BI623" s="25"/>
    </row>
    <row r="624" spans="2:61" x14ac:dyDescent="0.35"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  <c r="AO624" s="25"/>
      <c r="AP624" s="25"/>
      <c r="AQ624" s="25"/>
      <c r="AR624" s="25"/>
      <c r="AS624" s="25"/>
      <c r="AT624" s="25"/>
      <c r="AU624" s="25"/>
      <c r="AV624" s="25"/>
      <c r="AW624" s="25"/>
      <c r="AX624" s="25"/>
      <c r="AY624" s="25"/>
      <c r="AZ624" s="25"/>
      <c r="BA624" s="25"/>
      <c r="BB624" s="25"/>
      <c r="BC624" s="25"/>
      <c r="BD624" s="25"/>
      <c r="BE624" s="25"/>
      <c r="BF624" s="25"/>
      <c r="BG624" s="25"/>
      <c r="BH624" s="25"/>
      <c r="BI624" s="25"/>
    </row>
    <row r="625" spans="2:61" x14ac:dyDescent="0.35"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  <c r="AO625" s="25"/>
      <c r="AP625" s="25"/>
      <c r="AQ625" s="25"/>
      <c r="AR625" s="25"/>
      <c r="AS625" s="25"/>
      <c r="AT625" s="25"/>
      <c r="AU625" s="25"/>
      <c r="AV625" s="25"/>
      <c r="AW625" s="25"/>
      <c r="AX625" s="25"/>
      <c r="AY625" s="25"/>
      <c r="AZ625" s="25"/>
      <c r="BA625" s="25"/>
      <c r="BB625" s="25"/>
      <c r="BC625" s="25"/>
      <c r="BD625" s="25"/>
      <c r="BE625" s="25"/>
      <c r="BF625" s="25"/>
      <c r="BG625" s="25"/>
      <c r="BH625" s="25"/>
      <c r="BI625" s="25"/>
    </row>
    <row r="626" spans="2:61" x14ac:dyDescent="0.35"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  <c r="AO626" s="25"/>
      <c r="AP626" s="25"/>
      <c r="AQ626" s="25"/>
      <c r="AR626" s="25"/>
      <c r="AS626" s="25"/>
      <c r="AT626" s="25"/>
      <c r="AU626" s="25"/>
      <c r="AV626" s="25"/>
      <c r="AW626" s="25"/>
      <c r="AX626" s="25"/>
      <c r="AY626" s="25"/>
      <c r="AZ626" s="25"/>
      <c r="BA626" s="25"/>
      <c r="BB626" s="25"/>
      <c r="BC626" s="25"/>
      <c r="BD626" s="25"/>
      <c r="BE626" s="25"/>
      <c r="BF626" s="25"/>
      <c r="BG626" s="25"/>
      <c r="BH626" s="25"/>
      <c r="BI626" s="25"/>
    </row>
    <row r="627" spans="2:61" x14ac:dyDescent="0.35"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  <c r="AO627" s="25"/>
      <c r="AP627" s="25"/>
      <c r="AQ627" s="25"/>
      <c r="AR627" s="25"/>
      <c r="AS627" s="25"/>
      <c r="AT627" s="25"/>
      <c r="AU627" s="25"/>
      <c r="AV627" s="25"/>
      <c r="AW627" s="25"/>
      <c r="AX627" s="25"/>
      <c r="AY627" s="25"/>
      <c r="AZ627" s="25"/>
      <c r="BA627" s="25"/>
      <c r="BB627" s="25"/>
      <c r="BC627" s="25"/>
      <c r="BD627" s="25"/>
      <c r="BE627" s="25"/>
      <c r="BF627" s="25"/>
      <c r="BG627" s="25"/>
      <c r="BH627" s="25"/>
      <c r="BI627" s="25"/>
    </row>
    <row r="628" spans="2:61" x14ac:dyDescent="0.35"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  <c r="AO628" s="25"/>
      <c r="AP628" s="25"/>
      <c r="AQ628" s="25"/>
      <c r="AR628" s="25"/>
      <c r="AS628" s="25"/>
      <c r="AT628" s="25"/>
      <c r="AU628" s="25"/>
      <c r="AV628" s="25"/>
      <c r="AW628" s="25"/>
      <c r="AX628" s="25"/>
      <c r="AY628" s="25"/>
      <c r="AZ628" s="25"/>
      <c r="BA628" s="25"/>
      <c r="BB628" s="25"/>
      <c r="BC628" s="25"/>
      <c r="BD628" s="25"/>
      <c r="BE628" s="25"/>
      <c r="BF628" s="25"/>
      <c r="BG628" s="25"/>
      <c r="BH628" s="25"/>
      <c r="BI628" s="25"/>
    </row>
    <row r="629" spans="2:61" x14ac:dyDescent="0.35"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  <c r="AO629" s="25"/>
      <c r="AP629" s="25"/>
      <c r="AQ629" s="25"/>
      <c r="AR629" s="25"/>
      <c r="AS629" s="25"/>
      <c r="AT629" s="25"/>
      <c r="AU629" s="25"/>
      <c r="AV629" s="25"/>
      <c r="AW629" s="25"/>
      <c r="AX629" s="25"/>
      <c r="AY629" s="25"/>
      <c r="AZ629" s="25"/>
      <c r="BA629" s="25"/>
      <c r="BB629" s="25"/>
      <c r="BC629" s="25"/>
      <c r="BD629" s="25"/>
      <c r="BE629" s="25"/>
      <c r="BF629" s="25"/>
      <c r="BG629" s="25"/>
      <c r="BH629" s="25"/>
      <c r="BI629" s="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CC165"/>
  <sheetViews>
    <sheetView showGridLines="0"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4.5" x14ac:dyDescent="0.35"/>
  <sheetData>
    <row r="1" spans="1:81" ht="17.5" x14ac:dyDescent="0.35">
      <c r="B1" s="19" t="s">
        <v>22</v>
      </c>
    </row>
    <row r="3" spans="1:81" x14ac:dyDescent="0.35">
      <c r="A3" s="23" t="s">
        <v>15</v>
      </c>
    </row>
    <row r="4" spans="1:81" x14ac:dyDescent="0.35">
      <c r="A4" s="23" t="s">
        <v>16</v>
      </c>
      <c r="B4" s="26">
        <v>0.5</v>
      </c>
      <c r="C4" s="26">
        <v>1</v>
      </c>
      <c r="D4" s="26">
        <v>1.5</v>
      </c>
      <c r="E4" s="26">
        <v>2</v>
      </c>
      <c r="F4" s="26">
        <v>2.5</v>
      </c>
      <c r="G4" s="26">
        <v>3</v>
      </c>
      <c r="H4" s="26">
        <v>3.5</v>
      </c>
      <c r="I4" s="26">
        <v>4</v>
      </c>
      <c r="J4" s="26">
        <v>4.5</v>
      </c>
      <c r="K4" s="26">
        <v>5</v>
      </c>
      <c r="L4" s="26">
        <v>5.5</v>
      </c>
      <c r="M4" s="26">
        <v>6</v>
      </c>
      <c r="N4" s="26">
        <v>6.5</v>
      </c>
      <c r="O4" s="26">
        <v>7</v>
      </c>
      <c r="P4" s="26">
        <v>7.5</v>
      </c>
      <c r="Q4" s="26">
        <v>8</v>
      </c>
      <c r="R4" s="26">
        <v>8.5</v>
      </c>
      <c r="S4" s="26">
        <v>9</v>
      </c>
      <c r="T4" s="26">
        <v>9.5</v>
      </c>
      <c r="U4" s="26">
        <v>10</v>
      </c>
      <c r="V4" s="26">
        <v>10.5</v>
      </c>
      <c r="W4" s="26">
        <v>11</v>
      </c>
      <c r="X4" s="26">
        <v>11.5</v>
      </c>
      <c r="Y4" s="26">
        <v>12</v>
      </c>
      <c r="Z4" s="26">
        <v>12.5</v>
      </c>
      <c r="AA4" s="26">
        <v>13</v>
      </c>
      <c r="AB4" s="26">
        <v>13.5</v>
      </c>
      <c r="AC4" s="26">
        <v>14</v>
      </c>
      <c r="AD4" s="26">
        <v>14.5</v>
      </c>
      <c r="AE4" s="26">
        <v>15</v>
      </c>
      <c r="AF4" s="26">
        <v>15.5</v>
      </c>
      <c r="AG4" s="26">
        <v>16</v>
      </c>
      <c r="AH4" s="26">
        <v>16.5</v>
      </c>
      <c r="AI4" s="26">
        <v>17</v>
      </c>
      <c r="AJ4" s="26">
        <v>17.5</v>
      </c>
      <c r="AK4" s="26">
        <v>18</v>
      </c>
      <c r="AL4" s="26">
        <v>18.5</v>
      </c>
      <c r="AM4" s="26">
        <v>19</v>
      </c>
      <c r="AN4" s="26">
        <v>19.5</v>
      </c>
      <c r="AO4" s="26">
        <v>20</v>
      </c>
      <c r="AP4" s="26">
        <v>20.5</v>
      </c>
      <c r="AQ4" s="26">
        <v>21</v>
      </c>
      <c r="AR4" s="26">
        <v>21.5</v>
      </c>
      <c r="AS4" s="26">
        <v>22</v>
      </c>
      <c r="AT4" s="26">
        <v>22.5</v>
      </c>
      <c r="AU4" s="26">
        <v>23</v>
      </c>
      <c r="AV4" s="26">
        <v>23.5</v>
      </c>
      <c r="AW4" s="26">
        <v>24</v>
      </c>
      <c r="AX4" s="26">
        <v>24.5</v>
      </c>
      <c r="AY4" s="26">
        <v>25</v>
      </c>
      <c r="AZ4" s="26">
        <v>25.5</v>
      </c>
      <c r="BA4" s="26">
        <v>26</v>
      </c>
      <c r="BB4" s="26">
        <v>26.5</v>
      </c>
      <c r="BC4" s="26">
        <v>27</v>
      </c>
      <c r="BD4" s="26">
        <v>27.5</v>
      </c>
      <c r="BE4" s="26">
        <v>28</v>
      </c>
      <c r="BF4" s="26">
        <v>28.5</v>
      </c>
      <c r="BG4" s="26">
        <v>29</v>
      </c>
      <c r="BH4" s="26">
        <v>29.5</v>
      </c>
      <c r="BI4" s="26">
        <v>30</v>
      </c>
      <c r="BJ4" s="26">
        <v>30.5</v>
      </c>
      <c r="BK4" s="26">
        <v>31</v>
      </c>
      <c r="BL4" s="26">
        <v>31.5</v>
      </c>
      <c r="BM4" s="26">
        <v>32</v>
      </c>
      <c r="BN4" s="26">
        <v>32.5</v>
      </c>
      <c r="BO4" s="26">
        <v>33</v>
      </c>
      <c r="BP4" s="26">
        <v>33.5</v>
      </c>
      <c r="BQ4" s="26">
        <v>34</v>
      </c>
      <c r="BR4" s="26">
        <v>34.5</v>
      </c>
      <c r="BS4" s="26">
        <v>35</v>
      </c>
      <c r="BT4" s="26">
        <v>35.5</v>
      </c>
      <c r="BU4" s="26">
        <v>36</v>
      </c>
      <c r="BV4" s="26">
        <v>36.5</v>
      </c>
      <c r="BW4" s="26">
        <v>37</v>
      </c>
      <c r="BX4" s="26">
        <v>37.5</v>
      </c>
      <c r="BY4" s="26">
        <v>38</v>
      </c>
      <c r="BZ4" s="26">
        <v>38.5</v>
      </c>
      <c r="CA4" s="26">
        <v>39</v>
      </c>
      <c r="CB4" s="26">
        <v>39.5</v>
      </c>
      <c r="CC4" s="26">
        <v>40</v>
      </c>
    </row>
    <row r="5" spans="1:81" x14ac:dyDescent="0.35">
      <c r="A5" s="14" t="e">
        <v>#VALUE!</v>
      </c>
      <c r="B5" s="15"/>
    </row>
    <row r="6" spans="1:81" x14ac:dyDescent="0.35">
      <c r="A6" s="18">
        <v>46143</v>
      </c>
      <c r="B6" s="15">
        <v>3.9287559511591228</v>
      </c>
      <c r="C6" s="22">
        <v>4.2437709297427997</v>
      </c>
      <c r="D6" s="22">
        <v>4.2929851190298107</v>
      </c>
      <c r="E6" s="22">
        <v>4.2948945464481572</v>
      </c>
      <c r="F6" s="22">
        <v>4.2965336358267257</v>
      </c>
      <c r="G6" s="22">
        <v>4.3071407255124798</v>
      </c>
      <c r="H6" s="22">
        <v>4.3277437888896753</v>
      </c>
      <c r="I6" s="22">
        <v>4.3575651275210161</v>
      </c>
      <c r="J6" s="22">
        <v>4.3954604426202746</v>
      </c>
      <c r="K6" s="22">
        <v>4.4401565152524336</v>
      </c>
      <c r="L6" s="22">
        <v>4.4903218094308395</v>
      </c>
      <c r="M6" s="22">
        <v>4.5446598940324812</v>
      </c>
      <c r="N6" s="22">
        <v>4.6019764592045798</v>
      </c>
      <c r="O6" s="22">
        <v>4.6612121334039545</v>
      </c>
      <c r="P6" s="22">
        <v>4.72145613504303</v>
      </c>
      <c r="Q6" s="22">
        <v>4.7819506419027817</v>
      </c>
      <c r="R6" s="22">
        <v>4.8420721976031569</v>
      </c>
      <c r="S6" s="22">
        <v>4.9013175620703011</v>
      </c>
      <c r="T6" s="22">
        <v>4.9592872011661218</v>
      </c>
      <c r="U6" s="22">
        <v>5.0156685953080027</v>
      </c>
      <c r="V6" s="22">
        <v>5.0702250952744565</v>
      </c>
      <c r="W6" s="22">
        <v>5.1227846969920812</v>
      </c>
      <c r="X6" s="22">
        <v>5.1732248857249417</v>
      </c>
      <c r="Y6" s="22">
        <v>5.2214604901216157</v>
      </c>
      <c r="Z6" s="22">
        <v>5.2674324731751172</v>
      </c>
      <c r="AA6" s="22">
        <v>5.3111026833025603</v>
      </c>
      <c r="AB6" s="22">
        <v>5.3524487860055778</v>
      </c>
      <c r="AC6" s="22">
        <v>5.3914632768143376</v>
      </c>
      <c r="AD6" s="22">
        <v>5.4281538944096308</v>
      </c>
      <c r="AE6" s="22">
        <v>5.4625445679711797</v>
      </c>
      <c r="AF6" s="22">
        <v>5.4946742508250956</v>
      </c>
      <c r="AG6" s="22">
        <v>5.5245937260678275</v>
      </c>
      <c r="AH6" s="22">
        <v>5.5523636084318841</v>
      </c>
      <c r="AI6" s="22">
        <v>5.5780533238244132</v>
      </c>
      <c r="AJ6" s="22">
        <v>5.6017410525636295</v>
      </c>
      <c r="AK6" s="22">
        <v>5.6235143244239119</v>
      </c>
      <c r="AL6" s="22">
        <v>5.643468310701814</v>
      </c>
      <c r="AM6" s="22">
        <v>5.6617025124776861</v>
      </c>
      <c r="AN6" s="22">
        <v>5.6783180883502453</v>
      </c>
      <c r="AO6" s="22">
        <v>5.6934137423251521</v>
      </c>
      <c r="AP6" s="22">
        <v>5.7070839420185875</v>
      </c>
      <c r="AQ6" s="22">
        <v>5.7194165968517368</v>
      </c>
      <c r="AR6" s="22">
        <v>5.7304923299978032</v>
      </c>
      <c r="AS6" s="22">
        <v>5.7403836820109815</v>
      </c>
      <c r="AT6" s="22">
        <v>5.7491538550219721</v>
      </c>
      <c r="AU6" s="22">
        <v>5.7568571342169061</v>
      </c>
      <c r="AV6" s="22">
        <v>5.7635394274041349</v>
      </c>
      <c r="AW6" s="22">
        <v>5.7692380248120969</v>
      </c>
      <c r="AX6" s="22">
        <v>5.7739821120158741</v>
      </c>
      <c r="AY6" s="22">
        <v>5.7777935260345599</v>
      </c>
      <c r="AZ6" s="22">
        <v>5.7806874681011005</v>
      </c>
      <c r="BA6" s="22">
        <v>5.7826734071350598</v>
      </c>
      <c r="BB6" s="22">
        <v>5.7837564420982668</v>
      </c>
      <c r="BC6" s="22">
        <v>5.7839384555549955</v>
      </c>
      <c r="BD6" s="22">
        <v>5.7832197250604409</v>
      </c>
      <c r="BE6" s="22">
        <v>5.7815995511968534</v>
      </c>
      <c r="BF6" s="22">
        <v>5.7790772430543971</v>
      </c>
      <c r="BG6" s="22">
        <v>5.7756528541717351</v>
      </c>
      <c r="BH6" s="22">
        <v>5.7713273732528121</v>
      </c>
      <c r="BI6" s="22">
        <v>5.7661031227144628</v>
      </c>
      <c r="BJ6" s="22">
        <v>5.7599839528301793</v>
      </c>
      <c r="BK6" s="22">
        <v>5.7529750212178712</v>
      </c>
      <c r="BL6" s="22">
        <v>5.74508248825477</v>
      </c>
      <c r="BM6" s="22">
        <v>5.7363133322598321</v>
      </c>
      <c r="BN6" s="22">
        <v>5.7266750000923965</v>
      </c>
      <c r="BO6" s="22">
        <v>5.7161752833401414</v>
      </c>
      <c r="BP6" s="22">
        <v>5.7048222915940183</v>
      </c>
      <c r="BQ6" s="22">
        <v>5.6926244281440361</v>
      </c>
      <c r="BR6" s="22">
        <v>5.6795903071133242</v>
      </c>
      <c r="BS6" s="22">
        <v>5.6657285632000445</v>
      </c>
      <c r="BT6" s="22">
        <v>5.6510477958132608</v>
      </c>
      <c r="BU6" s="22">
        <v>5.6355565939958971</v>
      </c>
      <c r="BV6" s="22">
        <v>5.6192637818332773</v>
      </c>
      <c r="BW6" s="22">
        <v>5.6021786396734665</v>
      </c>
      <c r="BX6" s="22">
        <v>5.5843108944733419</v>
      </c>
      <c r="BY6" s="22">
        <v>5.5656707150247433</v>
      </c>
      <c r="BZ6" s="22">
        <v>5.5462689360195663</v>
      </c>
      <c r="CA6" s="22">
        <v>5.5261172546542223</v>
      </c>
      <c r="CB6" s="22">
        <v>5.5052281964745395</v>
      </c>
      <c r="CC6" s="22">
        <v>5.4836150722765131</v>
      </c>
    </row>
    <row r="7" spans="1:81" x14ac:dyDescent="0.35">
      <c r="A7" s="18">
        <v>46146</v>
      </c>
      <c r="B7" s="15" t="s">
        <v>23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</row>
    <row r="8" spans="1:81" x14ac:dyDescent="0.35">
      <c r="A8" s="18">
        <v>46147</v>
      </c>
      <c r="B8" s="15">
        <v>4.002639332106436</v>
      </c>
      <c r="C8" s="22">
        <v>4.3213278846883165</v>
      </c>
      <c r="D8" s="22">
        <v>4.3800212333848494</v>
      </c>
      <c r="E8" s="22">
        <v>4.3888361154400384</v>
      </c>
      <c r="F8" s="22">
        <v>4.3946337028970444</v>
      </c>
      <c r="G8" s="22">
        <v>4.4075827235592646</v>
      </c>
      <c r="H8" s="22">
        <v>4.4293647137332508</v>
      </c>
      <c r="I8" s="22">
        <v>4.4595980239686401</v>
      </c>
      <c r="J8" s="22">
        <v>4.4973885890331058</v>
      </c>
      <c r="K8" s="22">
        <v>4.5416298493943801</v>
      </c>
      <c r="L8" s="22">
        <v>4.5911106361838101</v>
      </c>
      <c r="M8" s="22">
        <v>4.6446248559847918</v>
      </c>
      <c r="N8" s="22">
        <v>4.7010488241296535</v>
      </c>
      <c r="O8" s="22">
        <v>4.7593795069334268</v>
      </c>
      <c r="P8" s="22">
        <v>4.8187510491660204</v>
      </c>
      <c r="Q8" s="22">
        <v>4.8784397190002435</v>
      </c>
      <c r="R8" s="22">
        <v>4.9378459881068348</v>
      </c>
      <c r="S8" s="22">
        <v>4.996480480286424</v>
      </c>
      <c r="T8" s="22">
        <v>5.0539493237420707</v>
      </c>
      <c r="U8" s="22">
        <v>5.109938355191975</v>
      </c>
      <c r="V8" s="22">
        <v>5.1642039186903563</v>
      </c>
      <c r="W8" s="22">
        <v>5.216562916222073</v>
      </c>
      <c r="X8" s="22">
        <v>5.2668796134711053</v>
      </c>
      <c r="Y8" s="22">
        <v>5.3150545249268699</v>
      </c>
      <c r="Z8" s="22">
        <v>5.3610145325080749</v>
      </c>
      <c r="AA8" s="22">
        <v>5.4047083986446678</v>
      </c>
      <c r="AB8" s="22">
        <v>5.4461019548633161</v>
      </c>
      <c r="AC8" s="22">
        <v>5.4851778498479433</v>
      </c>
      <c r="AD8" s="22">
        <v>5.5219358044540909</v>
      </c>
      <c r="AE8" s="22">
        <v>5.5563936171299799</v>
      </c>
      <c r="AF8" s="22">
        <v>5.5885857335166405</v>
      </c>
      <c r="AG8" s="22">
        <v>5.6185598287230674</v>
      </c>
      <c r="AH8" s="22">
        <v>5.6463745830734569</v>
      </c>
      <c r="AI8" s="22">
        <v>5.672098398199239</v>
      </c>
      <c r="AJ8" s="22">
        <v>5.6958090948182702</v>
      </c>
      <c r="AK8" s="22">
        <v>5.7175942367177406</v>
      </c>
      <c r="AL8" s="22">
        <v>5.7375493366164605</v>
      </c>
      <c r="AM8" s="22">
        <v>5.755774381711273</v>
      </c>
      <c r="AN8" s="22">
        <v>5.7723710754765296</v>
      </c>
      <c r="AO8" s="22">
        <v>5.7874386946204393</v>
      </c>
      <c r="AP8" s="22">
        <v>5.8010722848900009</v>
      </c>
      <c r="AQ8" s="22">
        <v>5.8133602910951785</v>
      </c>
      <c r="AR8" s="22">
        <v>5.8243838040700915</v>
      </c>
      <c r="AS8" s="22">
        <v>5.8342157398213574</v>
      </c>
      <c r="AT8" s="22">
        <v>5.8429196086862438</v>
      </c>
      <c r="AU8" s="22">
        <v>5.8505499564061463</v>
      </c>
      <c r="AV8" s="22">
        <v>5.8571529054173723</v>
      </c>
      <c r="AW8" s="22">
        <v>5.8627659235228125</v>
      </c>
      <c r="AX8" s="22">
        <v>5.8674183506176183</v>
      </c>
      <c r="AY8" s="22">
        <v>5.8711321656133224</v>
      </c>
      <c r="AZ8" s="22">
        <v>5.8739227078730982</v>
      </c>
      <c r="BA8" s="22">
        <v>5.8757995981066564</v>
      </c>
      <c r="BB8" s="22">
        <v>5.8767681249456709</v>
      </c>
      <c r="BC8" s="22">
        <v>5.876830408704147</v>
      </c>
      <c r="BD8" s="22">
        <v>5.8759870164079446</v>
      </c>
      <c r="BE8" s="22">
        <v>5.8742375847329749</v>
      </c>
      <c r="BF8" s="22">
        <v>5.8715818084519515</v>
      </c>
      <c r="BG8" s="22">
        <v>5.8680201751412193</v>
      </c>
      <c r="BH8" s="22">
        <v>5.8635541636120818</v>
      </c>
      <c r="BI8" s="22">
        <v>5.8581866288298841</v>
      </c>
      <c r="BJ8" s="22">
        <v>5.851921978125219</v>
      </c>
      <c r="BK8" s="22">
        <v>5.8447659490116672</v>
      </c>
      <c r="BL8" s="22">
        <v>5.8367253136213053</v>
      </c>
      <c r="BM8" s="22">
        <v>5.8278076848873832</v>
      </c>
      <c r="BN8" s="22">
        <v>5.8180211496107086</v>
      </c>
      <c r="BO8" s="22">
        <v>5.8073741405664361</v>
      </c>
      <c r="BP8" s="22">
        <v>5.795875409678322</v>
      </c>
      <c r="BQ8" s="22">
        <v>5.7835340034744673</v>
      </c>
      <c r="BR8" s="22">
        <v>5.7703591718384466</v>
      </c>
      <c r="BS8" s="22">
        <v>5.7563601571127574</v>
      </c>
      <c r="BT8" s="22">
        <v>5.7415461344136709</v>
      </c>
      <c r="BU8" s="22">
        <v>5.7259262375748534</v>
      </c>
      <c r="BV8" s="22">
        <v>5.7095097908069636</v>
      </c>
      <c r="BW8" s="22">
        <v>5.6923065149270453</v>
      </c>
      <c r="BX8" s="22">
        <v>5.6743265197992114</v>
      </c>
      <c r="BY8" s="22">
        <v>5.6555803033334593</v>
      </c>
      <c r="BZ8" s="22">
        <v>5.6360789749511797</v>
      </c>
      <c r="CA8" s="22">
        <v>5.6158344490041667</v>
      </c>
      <c r="CB8" s="22">
        <v>5.5948594134127134</v>
      </c>
      <c r="CC8" s="22">
        <v>5.5731672918354507</v>
      </c>
    </row>
    <row r="9" spans="1:81" x14ac:dyDescent="0.35">
      <c r="A9" s="18">
        <v>46148</v>
      </c>
      <c r="B9" s="15">
        <v>3.9166505586877189</v>
      </c>
      <c r="C9" s="22">
        <v>4.1971255555021898</v>
      </c>
      <c r="D9" s="22">
        <v>4.2448783616391657</v>
      </c>
      <c r="E9" s="22">
        <v>4.2522651241987246</v>
      </c>
      <c r="F9" s="22">
        <v>4.2598086295634454</v>
      </c>
      <c r="G9" s="22">
        <v>4.2752488283801862</v>
      </c>
      <c r="H9" s="22">
        <v>4.2993216502789862</v>
      </c>
      <c r="I9" s="22">
        <v>4.33133716212902</v>
      </c>
      <c r="J9" s="22">
        <v>4.3703589178370308</v>
      </c>
      <c r="K9" s="22">
        <v>4.4153371401324941</v>
      </c>
      <c r="L9" s="22">
        <v>4.4651518745315544</v>
      </c>
      <c r="M9" s="22">
        <v>4.5186935696938599</v>
      </c>
      <c r="N9" s="22">
        <v>4.5749267809795713</v>
      </c>
      <c r="O9" s="22">
        <v>4.6329228965260985</v>
      </c>
      <c r="P9" s="22">
        <v>4.6918759694520089</v>
      </c>
      <c r="Q9" s="22">
        <v>4.7511096718419337</v>
      </c>
      <c r="R9" s="22">
        <v>4.8100608867460117</v>
      </c>
      <c r="S9" s="22">
        <v>4.8682675044248063</v>
      </c>
      <c r="T9" s="22">
        <v>4.925356190224413</v>
      </c>
      <c r="U9" s="22">
        <v>4.98102756887954</v>
      </c>
      <c r="V9" s="22">
        <v>5.0350483573931557</v>
      </c>
      <c r="W9" s="22">
        <v>5.0872417728920913</v>
      </c>
      <c r="X9" s="22">
        <v>5.1374748588223316</v>
      </c>
      <c r="Y9" s="22">
        <v>5.1856480468446025</v>
      </c>
      <c r="Z9" s="22">
        <v>5.2316858389090477</v>
      </c>
      <c r="AA9" s="22">
        <v>5.2755325968002005</v>
      </c>
      <c r="AB9" s="22">
        <v>5.3171479933387609</v>
      </c>
      <c r="AC9" s="22">
        <v>5.3565071528995594</v>
      </c>
      <c r="AD9" s="22">
        <v>5.3936012204059143</v>
      </c>
      <c r="AE9" s="22">
        <v>5.428438716413889</v>
      </c>
      <c r="AF9" s="22">
        <v>5.4610443573971912</v>
      </c>
      <c r="AG9" s="22">
        <v>5.49145602471775</v>
      </c>
      <c r="AH9" s="22">
        <v>5.5197230939155331</v>
      </c>
      <c r="AI9" s="22">
        <v>5.5459054819555726</v>
      </c>
      <c r="AJ9" s="22">
        <v>5.5700735736564715</v>
      </c>
      <c r="AK9" s="22">
        <v>5.5923088859192518</v>
      </c>
      <c r="AL9" s="22">
        <v>5.6127023466129833</v>
      </c>
      <c r="AM9" s="22">
        <v>5.6313507042760609</v>
      </c>
      <c r="AN9" s="22">
        <v>5.6483535530123428</v>
      </c>
      <c r="AO9" s="22">
        <v>5.6638090175353071</v>
      </c>
      <c r="AP9" s="22">
        <v>5.6778117961094994</v>
      </c>
      <c r="AQ9" s="22">
        <v>5.6904506047608132</v>
      </c>
      <c r="AR9" s="22">
        <v>5.7018073200501709</v>
      </c>
      <c r="AS9" s="22">
        <v>5.7119560412038686</v>
      </c>
      <c r="AT9" s="22">
        <v>5.7209617144110592</v>
      </c>
      <c r="AU9" s="22">
        <v>5.7288805243041319</v>
      </c>
      <c r="AV9" s="22">
        <v>5.7357603738993408</v>
      </c>
      <c r="AW9" s="22">
        <v>5.7416405445698935</v>
      </c>
      <c r="AX9" s="22">
        <v>5.7465521779115223</v>
      </c>
      <c r="AY9" s="22">
        <v>5.75051901209231</v>
      </c>
      <c r="AZ9" s="22">
        <v>5.7535580656069181</v>
      </c>
      <c r="BA9" s="22">
        <v>5.7556805389265424</v>
      </c>
      <c r="BB9" s="22">
        <v>5.7568932193029383</v>
      </c>
      <c r="BC9" s="22">
        <v>5.7571996591589301</v>
      </c>
      <c r="BD9" s="22">
        <v>5.7566017991601139</v>
      </c>
      <c r="BE9" s="22">
        <v>5.7551005928583772</v>
      </c>
      <c r="BF9" s="22">
        <v>5.7526969943580255</v>
      </c>
      <c r="BG9" s="22">
        <v>5.7493926866191822</v>
      </c>
      <c r="BH9" s="22">
        <v>5.7451902833575375</v>
      </c>
      <c r="BI9" s="22">
        <v>5.740093704013586</v>
      </c>
      <c r="BJ9" s="22">
        <v>5.7341083498166716</v>
      </c>
      <c r="BK9" s="22">
        <v>5.7272408695375052</v>
      </c>
      <c r="BL9" s="22">
        <v>5.7194988666673385</v>
      </c>
      <c r="BM9" s="22">
        <v>5.7108907033627903</v>
      </c>
      <c r="BN9" s="22">
        <v>5.7014251199583175</v>
      </c>
      <c r="BO9" s="22">
        <v>5.6911111095233045</v>
      </c>
      <c r="BP9" s="22">
        <v>5.6799578979769834</v>
      </c>
      <c r="BQ9" s="22">
        <v>5.6679749258520538</v>
      </c>
      <c r="BR9" s="22">
        <v>5.6551717624845912</v>
      </c>
      <c r="BS9" s="22">
        <v>5.6415579019045055</v>
      </c>
      <c r="BT9" s="22">
        <v>5.6271427091317667</v>
      </c>
      <c r="BU9" s="22">
        <v>5.6119354512999813</v>
      </c>
      <c r="BV9" s="22">
        <v>5.5959455383771708</v>
      </c>
      <c r="BW9" s="22">
        <v>5.5791827349084686</v>
      </c>
      <c r="BX9" s="22">
        <v>5.5616571551523082</v>
      </c>
      <c r="BY9" s="22">
        <v>5.5433792642855293</v>
      </c>
      <c r="BZ9" s="22">
        <v>5.5243600966100335</v>
      </c>
      <c r="CA9" s="22">
        <v>5.5046114418351504</v>
      </c>
      <c r="CB9" s="22">
        <v>5.4841458157750038</v>
      </c>
      <c r="CC9" s="22">
        <v>5.462976428183695</v>
      </c>
    </row>
    <row r="10" spans="1:81" x14ac:dyDescent="0.35">
      <c r="A10" s="18">
        <v>46149</v>
      </c>
      <c r="B10" s="15">
        <v>3.9133354346086149</v>
      </c>
      <c r="C10" s="22">
        <v>4.1875524125004491</v>
      </c>
      <c r="D10" s="22">
        <v>4.2322764267492952</v>
      </c>
      <c r="E10" s="22">
        <v>4.2379116937979076</v>
      </c>
      <c r="F10" s="22">
        <v>4.2444438380199419</v>
      </c>
      <c r="G10" s="22">
        <v>4.2594126609091214</v>
      </c>
      <c r="H10" s="22">
        <v>4.2834030375279619</v>
      </c>
      <c r="I10" s="22">
        <v>4.3156006477463658</v>
      </c>
      <c r="J10" s="22">
        <v>4.3549689775025451</v>
      </c>
      <c r="K10" s="22">
        <v>4.4003845276806981</v>
      </c>
      <c r="L10" s="22">
        <v>4.4506750636891761</v>
      </c>
      <c r="M10" s="22">
        <v>4.5046940750249149</v>
      </c>
      <c r="N10" s="22">
        <v>4.5613793161134986</v>
      </c>
      <c r="O10" s="22">
        <v>4.6197836412704332</v>
      </c>
      <c r="P10" s="22">
        <v>4.6790891585384724</v>
      </c>
      <c r="Q10" s="22">
        <v>4.7386138504673081</v>
      </c>
      <c r="R10" s="22">
        <v>4.7977939749277345</v>
      </c>
      <c r="S10" s="22">
        <v>4.8561708855794175</v>
      </c>
      <c r="T10" s="22">
        <v>4.9133778776252637</v>
      </c>
      <c r="U10" s="22">
        <v>4.9691236202688831</v>
      </c>
      <c r="V10" s="22">
        <v>5.0231838327464846</v>
      </c>
      <c r="W10" s="22">
        <v>5.0753907117237196</v>
      </c>
      <c r="X10" s="22">
        <v>5.1256197787145492</v>
      </c>
      <c r="Y10" s="22">
        <v>5.1737794187045738</v>
      </c>
      <c r="Z10" s="22">
        <v>5.2198014002954274</v>
      </c>
      <c r="AA10" s="22">
        <v>5.2636362546755668</v>
      </c>
      <c r="AB10" s="22">
        <v>5.3052485725018581</v>
      </c>
      <c r="AC10" s="22">
        <v>5.3446170192765674</v>
      </c>
      <c r="AD10" s="22">
        <v>5.3817352216272489</v>
      </c>
      <c r="AE10" s="22">
        <v>5.4166130996052182</v>
      </c>
      <c r="AF10" s="22">
        <v>5.4492756955308925</v>
      </c>
      <c r="AG10" s="22">
        <v>5.4797603430677198</v>
      </c>
      <c r="AH10" s="22">
        <v>5.5081152483831612</v>
      </c>
      <c r="AI10" s="22">
        <v>5.534398690960538</v>
      </c>
      <c r="AJ10" s="22">
        <v>5.5586790572035101</v>
      </c>
      <c r="AK10" s="22">
        <v>5.5810355995500558</v>
      </c>
      <c r="AL10" s="22">
        <v>5.6015568543390692</v>
      </c>
      <c r="AM10" s="22">
        <v>5.6203371332529573</v>
      </c>
      <c r="AN10" s="22">
        <v>5.6374735932675701</v>
      </c>
      <c r="AO10" s="22">
        <v>5.6530620594051246</v>
      </c>
      <c r="AP10" s="22">
        <v>5.6671951160219356</v>
      </c>
      <c r="AQ10" s="22">
        <v>5.6799595980285194</v>
      </c>
      <c r="AR10" s="22">
        <v>5.6914357525977106</v>
      </c>
      <c r="AS10" s="22">
        <v>5.7016962983601029</v>
      </c>
      <c r="AT10" s="22">
        <v>5.7108050420358802</v>
      </c>
      <c r="AU10" s="22">
        <v>5.7188172549194132</v>
      </c>
      <c r="AV10" s="22">
        <v>5.7257801280043141</v>
      </c>
      <c r="AW10" s="22">
        <v>5.7317324231729101</v>
      </c>
      <c r="AX10" s="22">
        <v>5.7367049453075047</v>
      </c>
      <c r="AY10" s="22">
        <v>5.7407212633785276</v>
      </c>
      <c r="AZ10" s="22">
        <v>5.7437983710084684</v>
      </c>
      <c r="BA10" s="22">
        <v>5.7459475750799323</v>
      </c>
      <c r="BB10" s="22">
        <v>5.7471758988199593</v>
      </c>
      <c r="BC10" s="22">
        <v>5.7474872501384562</v>
      </c>
      <c r="BD10" s="22">
        <v>5.7468840223976265</v>
      </c>
      <c r="BE10" s="22">
        <v>5.7453677025318717</v>
      </c>
      <c r="BF10" s="22">
        <v>5.7429398411719879</v>
      </c>
      <c r="BG10" s="22">
        <v>5.7396027605763837</v>
      </c>
      <c r="BH10" s="22">
        <v>5.7353597506364213</v>
      </c>
      <c r="BI10" s="22">
        <v>5.7302154247960493</v>
      </c>
      <c r="BJ10" s="22">
        <v>5.7241758810113152</v>
      </c>
      <c r="BK10" s="22">
        <v>5.7172484462645059</v>
      </c>
      <c r="BL10" s="22">
        <v>5.7094413839312343</v>
      </c>
      <c r="BM10" s="22">
        <v>5.7007636878699737</v>
      </c>
      <c r="BN10" s="22">
        <v>5.6912246769287425</v>
      </c>
      <c r="BO10" s="22">
        <v>5.6808338667065277</v>
      </c>
      <c r="BP10" s="22">
        <v>5.6696009538105994</v>
      </c>
      <c r="BQ10" s="22">
        <v>5.6575358012777031</v>
      </c>
      <c r="BR10" s="22">
        <v>5.6446483488078334</v>
      </c>
      <c r="BS10" s="22">
        <v>5.6309483944074268</v>
      </c>
      <c r="BT10" s="22">
        <v>5.6164455407420508</v>
      </c>
      <c r="BU10" s="22">
        <v>5.6011492316493507</v>
      </c>
      <c r="BV10" s="22">
        <v>5.5850690015622746</v>
      </c>
      <c r="BW10" s="22">
        <v>5.5682146923837905</v>
      </c>
      <c r="BX10" s="22">
        <v>5.5505964515963653</v>
      </c>
      <c r="BY10" s="22">
        <v>5.5322247379234879</v>
      </c>
      <c r="BZ10" s="22">
        <v>5.5131105535869311</v>
      </c>
      <c r="CA10" s="22">
        <v>5.4932656400650197</v>
      </c>
      <c r="CB10" s="22">
        <v>5.4727024502525241</v>
      </c>
      <c r="CC10" s="22">
        <v>5.4514341232207757</v>
      </c>
    </row>
    <row r="11" spans="1:81" x14ac:dyDescent="0.35">
      <c r="A11" s="18">
        <v>46150</v>
      </c>
      <c r="B11" s="15">
        <v>3.93795720106939</v>
      </c>
      <c r="C11" s="22">
        <v>4.2163602793514485</v>
      </c>
      <c r="D11" s="22">
        <v>4.2563808998063708</v>
      </c>
      <c r="E11" s="22">
        <v>4.2581130067297845</v>
      </c>
      <c r="F11" s="22">
        <v>4.2615595046212338</v>
      </c>
      <c r="G11" s="22">
        <v>4.2738601554892766</v>
      </c>
      <c r="H11" s="22">
        <v>4.295387955376671</v>
      </c>
      <c r="I11" s="22">
        <v>4.3252362869593339</v>
      </c>
      <c r="J11" s="22">
        <v>4.3623233589565693</v>
      </c>
      <c r="K11" s="22">
        <v>4.4055043906073958</v>
      </c>
      <c r="L11" s="22">
        <v>4.45359965040379</v>
      </c>
      <c r="M11" s="22">
        <v>4.505462605740604</v>
      </c>
      <c r="N11" s="22">
        <v>4.5600339430712973</v>
      </c>
      <c r="O11" s="22">
        <v>4.616371784321557</v>
      </c>
      <c r="P11" s="22">
        <v>4.6736631614377604</v>
      </c>
      <c r="Q11" s="22">
        <v>4.73123046763991</v>
      </c>
      <c r="R11" s="22">
        <v>4.7885133664908821</v>
      </c>
      <c r="S11" s="22">
        <v>4.8450560791605737</v>
      </c>
      <c r="T11" s="22">
        <v>4.9004933356081217</v>
      </c>
      <c r="U11" s="22">
        <v>4.9545349927180933</v>
      </c>
      <c r="V11" s="22">
        <v>5.0069580216686687</v>
      </c>
      <c r="W11" s="22">
        <v>5.0575952015132097</v>
      </c>
      <c r="X11" s="22">
        <v>5.1063221231764091</v>
      </c>
      <c r="Y11" s="22">
        <v>5.1530470370008272</v>
      </c>
      <c r="Z11" s="22">
        <v>5.1977016997628667</v>
      </c>
      <c r="AA11" s="22">
        <v>5.2402363604885043</v>
      </c>
      <c r="AB11" s="22">
        <v>5.2806149344686544</v>
      </c>
      <c r="AC11" s="22">
        <v>5.3188148536928335</v>
      </c>
      <c r="AD11" s="22">
        <v>5.3548285041546082</v>
      </c>
      <c r="AE11" s="22">
        <v>5.3886642612309812</v>
      </c>
      <c r="AF11" s="22">
        <v>5.4203451166119994</v>
      </c>
      <c r="AG11" s="22">
        <v>5.4499061977787759</v>
      </c>
      <c r="AH11" s="22">
        <v>5.4773935431211411</v>
      </c>
      <c r="AI11" s="22">
        <v>5.5028632990179629</v>
      </c>
      <c r="AJ11" s="22">
        <v>5.5263817168032556</v>
      </c>
      <c r="AK11" s="22">
        <v>5.5480258519628372</v>
      </c>
      <c r="AL11" s="22">
        <v>5.5678822370797141</v>
      </c>
      <c r="AM11" s="22">
        <v>5.5860432914306086</v>
      </c>
      <c r="AN11" s="22">
        <v>5.6026042978857298</v>
      </c>
      <c r="AO11" s="22">
        <v>5.6176593224333375</v>
      </c>
      <c r="AP11" s="22">
        <v>5.6312993183501003</v>
      </c>
      <c r="AQ11" s="22">
        <v>5.6436095867345228</v>
      </c>
      <c r="AR11" s="22">
        <v>5.6546689338341016</v>
      </c>
      <c r="AS11" s="22">
        <v>5.6645486855831386</v>
      </c>
      <c r="AT11" s="22">
        <v>5.6733112920880915</v>
      </c>
      <c r="AU11" s="22">
        <v>5.6810107179751563</v>
      </c>
      <c r="AV11" s="22">
        <v>5.6876928624641581</v>
      </c>
      <c r="AW11" s="22">
        <v>5.6933951750810747</v>
      </c>
      <c r="AX11" s="22">
        <v>5.6981471399204517</v>
      </c>
      <c r="AY11" s="22">
        <v>5.701971008633155</v>
      </c>
      <c r="AZ11" s="22">
        <v>5.7048824552924717</v>
      </c>
      <c r="BA11" s="22">
        <v>5.7068914853708943</v>
      </c>
      <c r="BB11" s="22">
        <v>5.7080038792584009</v>
      </c>
      <c r="BC11" s="22">
        <v>5.7082223831583017</v>
      </c>
      <c r="BD11" s="22">
        <v>5.7075483192570209</v>
      </c>
      <c r="BE11" s="22">
        <v>5.7059821833405797</v>
      </c>
      <c r="BF11" s="22">
        <v>5.7035246329399669</v>
      </c>
      <c r="BG11" s="22">
        <v>5.7001771965047219</v>
      </c>
      <c r="BH11" s="22">
        <v>5.6959424913749199</v>
      </c>
      <c r="BI11" s="22">
        <v>5.690824551416342</v>
      </c>
      <c r="BJ11" s="22">
        <v>5.6848289568220549</v>
      </c>
      <c r="BK11" s="22">
        <v>5.6779625717791005</v>
      </c>
      <c r="BL11" s="22">
        <v>5.6702332661432227</v>
      </c>
      <c r="BM11" s="22">
        <v>5.6616496952567932</v>
      </c>
      <c r="BN11" s="22">
        <v>5.6522208777719785</v>
      </c>
      <c r="BO11" s="22">
        <v>5.6419560648889417</v>
      </c>
      <c r="BP11" s="22">
        <v>5.6308647220509815</v>
      </c>
      <c r="BQ11" s="22">
        <v>5.6189565116765507</v>
      </c>
      <c r="BR11" s="22">
        <v>5.6062411936786463</v>
      </c>
      <c r="BS11" s="22">
        <v>5.592728393673271</v>
      </c>
      <c r="BT11" s="22">
        <v>5.5784275477890537</v>
      </c>
      <c r="BU11" s="22">
        <v>5.5633479398865981</v>
      </c>
      <c r="BV11" s="22">
        <v>5.5474989497785474</v>
      </c>
      <c r="BW11" s="22">
        <v>5.5308902612073192</v>
      </c>
      <c r="BX11" s="22">
        <v>5.5135318586257513</v>
      </c>
      <c r="BY11" s="22">
        <v>5.4954340344225825</v>
      </c>
      <c r="BZ11" s="22">
        <v>5.4766076215087756</v>
      </c>
      <c r="CA11" s="22">
        <v>5.4570641812451317</v>
      </c>
      <c r="CB11" s="22">
        <v>5.4368159747823199</v>
      </c>
      <c r="CC11" s="22">
        <v>5.4158759374506245</v>
      </c>
    </row>
    <row r="12" spans="1:81" x14ac:dyDescent="0.35">
      <c r="A12" s="18"/>
      <c r="B12" s="15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</row>
    <row r="13" spans="1:81" x14ac:dyDescent="0.35">
      <c r="A13" s="18"/>
      <c r="B13" s="15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</row>
    <row r="14" spans="1:81" x14ac:dyDescent="0.35">
      <c r="A14" s="18"/>
      <c r="B14" s="15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</row>
    <row r="15" spans="1:81" x14ac:dyDescent="0.35">
      <c r="A15" s="18"/>
      <c r="B15" s="15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</row>
    <row r="16" spans="1:81" x14ac:dyDescent="0.35">
      <c r="A16" s="18"/>
      <c r="B16" s="15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</row>
    <row r="17" spans="1:81" x14ac:dyDescent="0.35">
      <c r="A17" s="18"/>
      <c r="B17" s="15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</row>
    <row r="18" spans="1:81" x14ac:dyDescent="0.35">
      <c r="A18" s="18"/>
      <c r="B18" s="15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</row>
    <row r="19" spans="1:81" x14ac:dyDescent="0.35">
      <c r="A19" s="18"/>
      <c r="B19" s="15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</row>
    <row r="20" spans="1:81" x14ac:dyDescent="0.35">
      <c r="A20" s="18"/>
      <c r="B20" s="15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</row>
    <row r="21" spans="1:81" x14ac:dyDescent="0.35">
      <c r="A21" s="18"/>
      <c r="B21" s="15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</row>
    <row r="22" spans="1:81" x14ac:dyDescent="0.35">
      <c r="A22" s="18"/>
      <c r="B22" s="15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</row>
    <row r="23" spans="1:81" x14ac:dyDescent="0.35">
      <c r="A23" s="18"/>
      <c r="B23" s="15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</row>
    <row r="24" spans="1:81" x14ac:dyDescent="0.35">
      <c r="A24" s="18"/>
      <c r="B24" s="15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</row>
    <row r="25" spans="1:81" x14ac:dyDescent="0.35">
      <c r="A25" s="18"/>
      <c r="B25" s="15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</row>
    <row r="26" spans="1:81" x14ac:dyDescent="0.35">
      <c r="A26" s="18"/>
      <c r="B26" s="15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</row>
    <row r="27" spans="1:81" x14ac:dyDescent="0.35">
      <c r="A27" s="18"/>
      <c r="B27" s="15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</row>
    <row r="28" spans="1:81" x14ac:dyDescent="0.35">
      <c r="A28" s="18"/>
      <c r="B28" s="15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</row>
    <row r="29" spans="1:81" x14ac:dyDescent="0.35">
      <c r="A29" s="18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</row>
    <row r="30" spans="1:81" x14ac:dyDescent="0.35">
      <c r="A30" s="18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</row>
    <row r="31" spans="1:81" x14ac:dyDescent="0.35">
      <c r="A31" s="18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</row>
    <row r="32" spans="1:81" x14ac:dyDescent="0.35">
      <c r="A32" s="18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</row>
    <row r="33" spans="1:81" x14ac:dyDescent="0.35">
      <c r="A33" s="18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</row>
    <row r="34" spans="1:81" x14ac:dyDescent="0.35">
      <c r="A34" s="18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</row>
    <row r="35" spans="1:81" x14ac:dyDescent="0.35">
      <c r="A35" s="18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</row>
    <row r="36" spans="1:81" x14ac:dyDescent="0.35">
      <c r="A36" s="18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</row>
    <row r="37" spans="1:81" x14ac:dyDescent="0.35">
      <c r="A37" s="18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</row>
    <row r="38" spans="1:81" x14ac:dyDescent="0.35">
      <c r="A38" s="18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</row>
    <row r="39" spans="1:81" x14ac:dyDescent="0.35">
      <c r="A39" s="18"/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</row>
    <row r="40" spans="1:81" x14ac:dyDescent="0.35">
      <c r="A40" s="18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</row>
    <row r="41" spans="1:81" x14ac:dyDescent="0.35">
      <c r="A41" s="18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</row>
    <row r="42" spans="1:81" x14ac:dyDescent="0.35">
      <c r="A42" s="18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</row>
    <row r="43" spans="1:81" x14ac:dyDescent="0.35">
      <c r="A43" s="18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</row>
    <row r="44" spans="1:81" x14ac:dyDescent="0.35">
      <c r="A44" s="18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</row>
    <row r="45" spans="1:81" x14ac:dyDescent="0.35">
      <c r="A45" s="18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</row>
    <row r="46" spans="1:81" x14ac:dyDescent="0.35">
      <c r="A46" s="18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</row>
    <row r="47" spans="1:81" x14ac:dyDescent="0.35">
      <c r="A47" s="18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</row>
    <row r="48" spans="1:81" x14ac:dyDescent="0.35">
      <c r="A48" s="18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</row>
    <row r="49" spans="1:81" x14ac:dyDescent="0.35">
      <c r="A49" s="18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</row>
    <row r="50" spans="1:81" x14ac:dyDescent="0.35">
      <c r="A50" s="18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</row>
    <row r="51" spans="1:81" x14ac:dyDescent="0.35">
      <c r="A51" s="18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</row>
    <row r="52" spans="1:81" x14ac:dyDescent="0.35">
      <c r="A52" s="18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</row>
    <row r="53" spans="1:81" x14ac:dyDescent="0.35">
      <c r="A53" s="18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</row>
    <row r="54" spans="1:81" x14ac:dyDescent="0.35">
      <c r="A54" s="18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</row>
    <row r="55" spans="1:81" x14ac:dyDescent="0.35">
      <c r="A55" s="18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</row>
    <row r="56" spans="1:81" x14ac:dyDescent="0.35">
      <c r="A56" s="18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</row>
    <row r="57" spans="1:81" x14ac:dyDescent="0.35">
      <c r="A57" s="18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</row>
    <row r="58" spans="1:81" x14ac:dyDescent="0.35">
      <c r="A58" s="18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</row>
    <row r="59" spans="1:81" x14ac:dyDescent="0.35">
      <c r="A59" s="18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</row>
    <row r="60" spans="1:81" x14ac:dyDescent="0.35">
      <c r="A60" s="18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</row>
    <row r="61" spans="1:81" x14ac:dyDescent="0.35">
      <c r="A61" s="18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</row>
    <row r="62" spans="1:81" x14ac:dyDescent="0.35">
      <c r="A62" s="18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</row>
    <row r="63" spans="1:81" x14ac:dyDescent="0.35">
      <c r="A63" s="18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</row>
    <row r="64" spans="1:81" x14ac:dyDescent="0.35"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</row>
    <row r="65" spans="2:81" x14ac:dyDescent="0.35"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</row>
    <row r="66" spans="2:81" x14ac:dyDescent="0.35"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</row>
    <row r="67" spans="2:81" x14ac:dyDescent="0.35"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</row>
    <row r="68" spans="2:81" x14ac:dyDescent="0.35"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</row>
    <row r="69" spans="2:81" x14ac:dyDescent="0.35"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</row>
    <row r="70" spans="2:81" x14ac:dyDescent="0.35"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</row>
    <row r="71" spans="2:81" x14ac:dyDescent="0.35"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</row>
    <row r="72" spans="2:81" x14ac:dyDescent="0.35"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</row>
    <row r="73" spans="2:81" x14ac:dyDescent="0.35"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</row>
    <row r="74" spans="2:81" x14ac:dyDescent="0.35"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</row>
    <row r="75" spans="2:81" x14ac:dyDescent="0.35"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</row>
    <row r="76" spans="2:81" x14ac:dyDescent="0.35"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</row>
    <row r="77" spans="2:81" x14ac:dyDescent="0.35"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</row>
    <row r="78" spans="2:81" x14ac:dyDescent="0.35"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</row>
    <row r="79" spans="2:81" x14ac:dyDescent="0.35"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</row>
    <row r="80" spans="2:81" x14ac:dyDescent="0.35"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</row>
    <row r="81" spans="2:81" x14ac:dyDescent="0.35"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</row>
    <row r="82" spans="2:81" x14ac:dyDescent="0.35"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</row>
    <row r="83" spans="2:81" x14ac:dyDescent="0.35"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</row>
    <row r="84" spans="2:81" x14ac:dyDescent="0.35"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</row>
    <row r="85" spans="2:81" x14ac:dyDescent="0.35"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</row>
    <row r="86" spans="2:81" x14ac:dyDescent="0.35"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</row>
    <row r="87" spans="2:81" x14ac:dyDescent="0.35"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</row>
    <row r="88" spans="2:81" x14ac:dyDescent="0.35"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</row>
    <row r="89" spans="2:81" x14ac:dyDescent="0.35"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</row>
    <row r="90" spans="2:81" x14ac:dyDescent="0.35"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</row>
    <row r="91" spans="2:81" x14ac:dyDescent="0.35"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</row>
    <row r="92" spans="2:81" x14ac:dyDescent="0.35"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</row>
    <row r="93" spans="2:81" x14ac:dyDescent="0.35"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</row>
    <row r="94" spans="2:81" x14ac:dyDescent="0.35"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</row>
    <row r="95" spans="2:81" x14ac:dyDescent="0.35"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</row>
    <row r="96" spans="2:81" x14ac:dyDescent="0.35"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</row>
    <row r="97" spans="2:81" x14ac:dyDescent="0.35"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</row>
    <row r="98" spans="2:81" x14ac:dyDescent="0.35"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</row>
    <row r="99" spans="2:81" x14ac:dyDescent="0.35"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</row>
    <row r="100" spans="2:81" x14ac:dyDescent="0.35"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</row>
    <row r="101" spans="2:81" x14ac:dyDescent="0.35"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</row>
    <row r="102" spans="2:81" x14ac:dyDescent="0.35"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</row>
    <row r="103" spans="2:81" x14ac:dyDescent="0.35"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</row>
    <row r="104" spans="2:81" x14ac:dyDescent="0.35"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</row>
    <row r="105" spans="2:81" x14ac:dyDescent="0.35"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</row>
    <row r="106" spans="2:81" x14ac:dyDescent="0.35"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</row>
    <row r="107" spans="2:81" x14ac:dyDescent="0.35"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</row>
    <row r="108" spans="2:81" x14ac:dyDescent="0.35"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</row>
    <row r="109" spans="2:81" x14ac:dyDescent="0.35"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</row>
    <row r="110" spans="2:81" x14ac:dyDescent="0.35"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</row>
    <row r="111" spans="2:81" x14ac:dyDescent="0.35"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</row>
    <row r="112" spans="2:81" x14ac:dyDescent="0.35"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</row>
    <row r="113" spans="2:81" x14ac:dyDescent="0.35"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</row>
    <row r="114" spans="2:81" x14ac:dyDescent="0.35"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</row>
    <row r="115" spans="2:81" x14ac:dyDescent="0.35"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</row>
    <row r="116" spans="2:81" x14ac:dyDescent="0.35"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</row>
    <row r="117" spans="2:81" x14ac:dyDescent="0.35"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</row>
    <row r="118" spans="2:81" x14ac:dyDescent="0.35"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</row>
    <row r="119" spans="2:81" x14ac:dyDescent="0.35"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</row>
    <row r="120" spans="2:81" x14ac:dyDescent="0.35"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</row>
    <row r="121" spans="2:81" x14ac:dyDescent="0.35"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</row>
    <row r="122" spans="2:81" x14ac:dyDescent="0.35"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</row>
    <row r="123" spans="2:81" x14ac:dyDescent="0.35"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</row>
    <row r="124" spans="2:81" x14ac:dyDescent="0.35"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</row>
    <row r="125" spans="2:81" x14ac:dyDescent="0.35"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</row>
    <row r="126" spans="2:81" x14ac:dyDescent="0.35"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</row>
    <row r="127" spans="2:81" x14ac:dyDescent="0.35"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</row>
    <row r="128" spans="2:81" x14ac:dyDescent="0.35"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</row>
    <row r="129" spans="2:81" x14ac:dyDescent="0.35"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</row>
    <row r="130" spans="2:81" x14ac:dyDescent="0.35"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</row>
    <row r="131" spans="2:81" x14ac:dyDescent="0.35"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</row>
    <row r="132" spans="2:81" x14ac:dyDescent="0.35"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</row>
    <row r="133" spans="2:81" x14ac:dyDescent="0.35"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</row>
    <row r="134" spans="2:81" x14ac:dyDescent="0.35"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</row>
    <row r="135" spans="2:81" x14ac:dyDescent="0.35"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</row>
    <row r="136" spans="2:81" x14ac:dyDescent="0.35"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</row>
    <row r="137" spans="2:81" x14ac:dyDescent="0.35"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</row>
    <row r="138" spans="2:81" x14ac:dyDescent="0.35"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</row>
    <row r="139" spans="2:81" x14ac:dyDescent="0.35"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</row>
    <row r="140" spans="2:81" x14ac:dyDescent="0.35"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</row>
    <row r="141" spans="2:81" x14ac:dyDescent="0.35"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</row>
    <row r="142" spans="2:81" x14ac:dyDescent="0.35"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</row>
    <row r="143" spans="2:81" x14ac:dyDescent="0.35"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</row>
    <row r="144" spans="2:81" x14ac:dyDescent="0.35"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</row>
    <row r="145" spans="2:81" x14ac:dyDescent="0.35"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</row>
    <row r="146" spans="2:81" x14ac:dyDescent="0.35"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</row>
    <row r="147" spans="2:81" x14ac:dyDescent="0.35"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</row>
    <row r="148" spans="2:81" x14ac:dyDescent="0.35"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</row>
    <row r="149" spans="2:81" x14ac:dyDescent="0.35"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</row>
    <row r="150" spans="2:81" x14ac:dyDescent="0.35"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</row>
    <row r="151" spans="2:81" x14ac:dyDescent="0.35"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</row>
    <row r="152" spans="2:81" x14ac:dyDescent="0.35"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</row>
    <row r="153" spans="2:81" x14ac:dyDescent="0.35"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</row>
    <row r="154" spans="2:81" x14ac:dyDescent="0.35"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</row>
    <row r="155" spans="2:81" x14ac:dyDescent="0.35"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</row>
    <row r="156" spans="2:81" x14ac:dyDescent="0.35"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</row>
    <row r="157" spans="2:81" x14ac:dyDescent="0.35"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</row>
    <row r="158" spans="2:81" x14ac:dyDescent="0.35"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</row>
    <row r="159" spans="2:81" x14ac:dyDescent="0.35"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</row>
    <row r="160" spans="2:81" ht="15.5" x14ac:dyDescent="0.35"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</row>
    <row r="161" spans="2:81" ht="15.5" x14ac:dyDescent="0.35"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</row>
    <row r="162" spans="2:81" ht="15.5" x14ac:dyDescent="0.35"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</row>
    <row r="163" spans="2:81" ht="15.5" x14ac:dyDescent="0.35"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</row>
    <row r="164" spans="2:81" ht="15.5" x14ac:dyDescent="0.35"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</row>
    <row r="165" spans="2:81" ht="15.5" x14ac:dyDescent="0.35"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2026-05-11T08:24:48Z</dcterms:created>
  <dcterms:modified xsi:type="dcterms:W3CDTF">2026-05-11T08:24:48Z</dcterms:modified>
</cp:coreProperties>
</file>